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sha\Desktop\projects running\MPLs\Existing_model_MPL\"/>
    </mc:Choice>
  </mc:AlternateContent>
  <xr:revisionPtr revIDLastSave="0" documentId="8_{458B5F23-418E-410D-BEC3-0145781B662F}" xr6:coauthVersionLast="47" xr6:coauthVersionMax="47" xr10:uidLastSave="{00000000-0000-0000-0000-000000000000}"/>
  <bookViews>
    <workbookView xWindow="-110" yWindow="-110" windowWidth="19420" windowHeight="11500" xr2:uid="{B4AEAE31-1903-4B83-9B0E-8682295C2757}"/>
  </bookViews>
  <sheets>
    <sheet name="Consolidated" sheetId="4" r:id="rId1"/>
    <sheet name="Sri lanka ICE" sheetId="14" r:id="rId2"/>
    <sheet name="Youdha E Pod" sheetId="13" r:id="rId3"/>
    <sheet name="Dongaen E trikes" sheetId="12" r:id="rId4"/>
    <sheet name="Dongaen Closed cabin" sheetId="10" r:id="rId5"/>
    <sheet name="Dongaen 7 Seater" sheetId="11" r:id="rId6"/>
    <sheet name="Yadea CL 9s" sheetId="9" r:id="rId7"/>
    <sheet name="Sheet3" sheetId="3" r:id="rId8"/>
    <sheet name="JP EV Zeko ii" sheetId="5" r:id="rId9"/>
    <sheet name="JP YH " sheetId="6" r:id="rId10"/>
    <sheet name="Lifan Dayun 200cc " sheetId="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4" l="1"/>
  <c r="K10" i="4"/>
  <c r="K11" i="4"/>
  <c r="K15" i="4"/>
  <c r="K19" i="4"/>
  <c r="K21" i="4"/>
  <c r="K23" i="4"/>
  <c r="K24" i="4"/>
  <c r="K27" i="4"/>
  <c r="H16" i="4" l="1"/>
  <c r="H17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<sst xmlns="http://schemas.openxmlformats.org/spreadsheetml/2006/main" count="1147" uniqueCount="645">
  <si>
    <t>Category</t>
  </si>
  <si>
    <t>Parameter</t>
  </si>
  <si>
    <t>Specification</t>
  </si>
  <si>
    <t>Motor Type</t>
  </si>
  <si>
    <t>Top Speed</t>
  </si>
  <si>
    <t>Climbing Ability</t>
  </si>
  <si>
    <t>Battery &amp; Charging</t>
  </si>
  <si>
    <t>Battery Type</t>
  </si>
  <si>
    <t>Battery Capacity</t>
  </si>
  <si>
    <t>Charging Time</t>
  </si>
  <si>
    <t>Wheelbase</t>
  </si>
  <si>
    <t>Ground Clearance</t>
  </si>
  <si>
    <t>Payload Capacity</t>
  </si>
  <si>
    <t>Wheels &amp; Tires</t>
  </si>
  <si>
    <t>Front Suspension</t>
  </si>
  <si>
    <t>Rear Suspension</t>
  </si>
  <si>
    <t>Braking System</t>
  </si>
  <si>
    <t>Front Brake</t>
  </si>
  <si>
    <t>Hydraulic Disc Brake</t>
  </si>
  <si>
    <t>Rear Brake</t>
  </si>
  <si>
    <t>Regenerative Braking</t>
  </si>
  <si>
    <t>Available</t>
  </si>
  <si>
    <t>Instrument Cluster</t>
  </si>
  <si>
    <t>USB Charging Port</t>
  </si>
  <si>
    <t>Powertrain</t>
  </si>
  <si>
    <t>Vehicle</t>
  </si>
  <si>
    <t>Vehicle Type</t>
  </si>
  <si>
    <t>Seating Capacity</t>
  </si>
  <si>
    <t>Performance</t>
  </si>
  <si>
    <t>Rated Power</t>
  </si>
  <si>
    <t>Peak Power</t>
  </si>
  <si>
    <t>Acceleration</t>
  </si>
  <si>
    <t>Gradeability</t>
  </si>
  <si>
    <t>Fast Charging</t>
  </si>
  <si>
    <t>Reserve Range</t>
  </si>
  <si>
    <t>Dimensions</t>
  </si>
  <si>
    <t>Kerb Weight</t>
  </si>
  <si>
    <t>Gross Vehicle Weight (GVW)</t>
  </si>
  <si>
    <t>Wheels &amp; Tyres</t>
  </si>
  <si>
    <t>Suspension</t>
  </si>
  <si>
    <t>Brakes</t>
  </si>
  <si>
    <t>Drivetrain</t>
  </si>
  <si>
    <t>Transmission</t>
  </si>
  <si>
    <t>Differential</t>
  </si>
  <si>
    <t>Gearbox</t>
  </si>
  <si>
    <t>Features</t>
  </si>
  <si>
    <t>Hazard Switch</t>
  </si>
  <si>
    <t>Warranty</t>
  </si>
  <si>
    <t>Vehicle Warranty</t>
  </si>
  <si>
    <t>Driver + 3 Passengers (D+3)</t>
  </si>
  <si>
    <t>PMSM</t>
  </si>
  <si>
    <t>5.5 kW</t>
  </si>
  <si>
    <t>8.0 kW</t>
  </si>
  <si>
    <t>55 km/h</t>
  </si>
  <si>
    <t>0-28 km/h in 5.6 sec</t>
  </si>
  <si>
    <t>11.7 kWh (10.5 kWh Usable)</t>
  </si>
  <si>
    <t>51.2 V</t>
  </si>
  <si>
    <t>48 V</t>
  </si>
  <si>
    <t>50 A</t>
  </si>
  <si>
    <t>0-80% in 3 hr 15 min</t>
  </si>
  <si>
    <t>13 km</t>
  </si>
  <si>
    <t>180 mm</t>
  </si>
  <si>
    <t>450 kg</t>
  </si>
  <si>
    <t>750 kg</t>
  </si>
  <si>
    <t>5 Years / 1,20,000 km</t>
  </si>
  <si>
    <t>Dimensions &amp; Capacities</t>
  </si>
  <si>
    <t>Length</t>
  </si>
  <si>
    <t>3,300 mm</t>
  </si>
  <si>
    <t>Width</t>
  </si>
  <si>
    <t>1,440 mm</t>
  </si>
  <si>
    <t>Height</t>
  </si>
  <si>
    <t>1,820 mm</t>
  </si>
  <si>
    <t>Vehicle Weight (Kerb Weight)</t>
  </si>
  <si>
    <t>530 kg</t>
  </si>
  <si>
    <t>470 kg</t>
  </si>
  <si>
    <t>1,000 kg (Derived)</t>
  </si>
  <si>
    <t>1 Driver + 6 Passengers</t>
  </si>
  <si>
    <t>Powertrain &amp; Performance</t>
  </si>
  <si>
    <t>AC Induction Motor</t>
  </si>
  <si>
    <t>Control System</t>
  </si>
  <si>
    <t>Proprietary BEMAC Vehicle Control Unit (VCU)</t>
  </si>
  <si>
    <t>50 km/h</t>
  </si>
  <si>
    <t>Suitable for standard urban gradients and bridge ramps</t>
  </si>
  <si>
    <t>Lithium-Ion (LiFePO4 / LFP Chemistry)</t>
  </si>
  <si>
    <t>4.4 kWh</t>
  </si>
  <si>
    <t>Range per Charge</t>
  </si>
  <si>
    <t>Approximately 60 km</t>
  </si>
  <si>
    <t>3-4 Hours (Standard Electrical Outlet)</t>
  </si>
  <si>
    <t>Chassis &amp; Body</t>
  </si>
  <si>
    <t>Body Structure</t>
  </si>
  <si>
    <t>Reinforced Steel Chassis with Fiberglass Cabin Frame</t>
  </si>
  <si>
    <t>Front Brakes</t>
  </si>
  <si>
    <t>Rear Brakes</t>
  </si>
  <si>
    <t>Mechanical Drum Brakes</t>
  </si>
  <si>
    <t>Suspension Type</t>
  </si>
  <si>
    <t>Heavy-Duty Rear Leaf Spring Suspension</t>
  </si>
  <si>
    <t>Connected Features</t>
  </si>
  <si>
    <t>Fleet Management System</t>
  </si>
  <si>
    <t>Factory-Integrated GPS Tracking &amp; Telemetry Unit</t>
  </si>
  <si>
    <t>BEMAC Passenger EV</t>
  </si>
  <si>
    <t>KYORO+ Passenger EV</t>
  </si>
  <si>
    <t>Passenger Electric Vehicle</t>
  </si>
  <si>
    <t>L5M Passenger Electric Three-Wheeler</t>
  </si>
  <si>
    <t>Driver + 6 Passengers (1+6)</t>
  </si>
  <si>
    <t>2,810 mm</t>
  </si>
  <si>
    <t>1,378 mm</t>
  </si>
  <si>
    <t>1,830 mm</t>
  </si>
  <si>
    <t>Not Available</t>
  </si>
  <si>
    <t>2,080 mm</t>
  </si>
  <si>
    <t>Weight</t>
  </si>
  <si>
    <t>300 kg</t>
  </si>
  <si>
    <t>Controller</t>
  </si>
  <si>
    <t>BEMAC Proprietary VCU</t>
  </si>
  <si>
    <t>Integrated Controller</t>
  </si>
  <si>
    <t>Urban Gradients &amp; Bridge Ramps</t>
  </si>
  <si>
    <t>20% (Spec) / 22% (Claim)</t>
  </si>
  <si>
    <t>Battery</t>
  </si>
  <si>
    <t>Lithium-Ion (LFP)</t>
  </si>
  <si>
    <t>Fixed LFP Battery</t>
  </si>
  <si>
    <t>Nominal Voltage</t>
  </si>
  <si>
    <t>System Voltage</t>
  </si>
  <si>
    <t>Driving Range</t>
  </si>
  <si>
    <t>~60 km</t>
  </si>
  <si>
    <t>200 km (ARAI)</t>
  </si>
  <si>
    <t>Charging</t>
  </si>
  <si>
    <t>3-4 Hours</t>
  </si>
  <si>
    <t>4-5 Hours</t>
  </si>
  <si>
    <t>Charger Rating</t>
  </si>
  <si>
    <t>Hydraulic Telescopic Shock Absorber</t>
  </si>
  <si>
    <t>Heavy-Duty Leaf Spring</t>
  </si>
  <si>
    <t>Hydraulic Disc</t>
  </si>
  <si>
    <t>Hydraulic Drum</t>
  </si>
  <si>
    <t>Mechanical Drum</t>
  </si>
  <si>
    <t>Not Specified</t>
  </si>
  <si>
    <t>Chassis</t>
  </si>
  <si>
    <t>Reinforced Steel Chassis with Fiberglass Cabin</t>
  </si>
  <si>
    <t>Metal Body Construction</t>
  </si>
  <si>
    <t>2-Speed Gearbox</t>
  </si>
  <si>
    <t>Integrated Differential</t>
  </si>
  <si>
    <t>Digital Cluster</t>
  </si>
  <si>
    <t>GPS Tracking</t>
  </si>
  <si>
    <t>Factory Integrated</t>
  </si>
  <si>
    <t>Telematics</t>
  </si>
  <si>
    <t>Battery Overheat Alarm</t>
  </si>
  <si>
    <t>Max Speed</t>
  </si>
  <si>
    <t>Economic Speed Range</t>
  </si>
  <si>
    <t>120 km</t>
  </si>
  <si>
    <t>6-8 h</t>
  </si>
  <si>
    <t>Loading Capacity</t>
  </si>
  <si>
    <t>4 Passengers</t>
  </si>
  <si>
    <t>2630 × 1350 × 1890 mm</t>
  </si>
  <si>
    <t>76.8V 120Ah Lithium Battery</t>
  </si>
  <si>
    <t>Motor</t>
  </si>
  <si>
    <t>3000 W</t>
  </si>
  <si>
    <t>Front/Rear Brake Type</t>
  </si>
  <si>
    <t>Oil Drum Brake</t>
  </si>
  <si>
    <t>Front Shock Absorption</t>
  </si>
  <si>
    <t>Double-shoulder Swing-arm Hydraulic Shock Absorber</t>
  </si>
  <si>
    <t>Rear Shock Absorption</t>
  </si>
  <si>
    <t>Independent Hydraulic Damping Shock Absorber</t>
  </si>
  <si>
    <t>Dimensions &amp; Weight</t>
  </si>
  <si>
    <t>2800 mm</t>
  </si>
  <si>
    <t>1250 mm</t>
  </si>
  <si>
    <t>1780 mm</t>
  </si>
  <si>
    <t>2220 mm</t>
  </si>
  <si>
    <t>Wheel Track</t>
  </si>
  <si>
    <t>1080 mm</t>
  </si>
  <si>
    <t>≥ 320 mm</t>
  </si>
  <si>
    <t>Turning Radius</t>
  </si>
  <si>
    <t>≤ 4.35 m</t>
  </si>
  <si>
    <t>Curb Weight</t>
  </si>
  <si>
    <t>310 kg</t>
  </si>
  <si>
    <t>Capacity</t>
  </si>
  <si>
    <t>Electric Motor</t>
  </si>
  <si>
    <t>Motor Rating</t>
  </si>
  <si>
    <t>60V / 1800W</t>
  </si>
  <si>
    <t>30-Tube Controller</t>
  </si>
  <si>
    <t>Drive Type</t>
  </si>
  <si>
    <t>Electric Drive</t>
  </si>
  <si>
    <t>Maximum Speed</t>
  </si>
  <si>
    <t>40 km/h</t>
  </si>
  <si>
    <t>Maximum Climbing Ability</t>
  </si>
  <si>
    <t>≤ 25% Gradeability</t>
  </si>
  <si>
    <t>120-200 km (depending on battery configuration)</t>
  </si>
  <si>
    <t>Battery &amp;</t>
  </si>
  <si>
    <t>Battery Options</t>
  </si>
  <si>
    <t>Lead-Acid (60V, 100-120Ah)</t>
  </si>
  <si>
    <t>Lithium-Ion (60V, 100Ah)</t>
  </si>
  <si>
    <t>6-8 Hours</t>
  </si>
  <si>
    <t>Disc Brake</t>
  </si>
  <si>
    <t>Parking Brake</t>
  </si>
  <si>
    <t>Hand-Operated Parking Brake</t>
  </si>
  <si>
    <t>Hydraulic Shock Absorber</t>
  </si>
  <si>
    <t>Semi-Independent Suspension</t>
  </si>
  <si>
    <t>Tire Size (Front)</t>
  </si>
  <si>
    <t>4.00-12</t>
  </si>
  <si>
    <t>Tire Size (Rear)</t>
  </si>
  <si>
    <t>Wheel Type</t>
  </si>
  <si>
    <t>LCD Luxury Meter</t>
  </si>
  <si>
    <t>Safety Feature</t>
  </si>
  <si>
    <t>Reversing Camera</t>
  </si>
  <si>
    <t>Convenience</t>
  </si>
  <si>
    <t>Security</t>
  </si>
  <si>
    <t>Remote Control Key</t>
  </si>
  <si>
    <t>Utility</t>
  </si>
  <si>
    <t>Electric Wiper</t>
  </si>
  <si>
    <t>Entertainment</t>
  </si>
  <si>
    <t>Speaker System</t>
  </si>
  <si>
    <t>Drive Modes</t>
  </si>
  <si>
    <t>High-Speed / Low-Speed Modes</t>
  </si>
  <si>
    <t>Steel Wheels</t>
  </si>
  <si>
    <t>General</t>
  </si>
  <si>
    <t>Passenger Tuk-Tuk / 3-Wheeler</t>
  </si>
  <si>
    <t>Passenger Capacity</t>
  </si>
  <si>
    <t>4-6 Passengers + Driver</t>
  </si>
  <si>
    <t>Load Capacity</t>
  </si>
  <si>
    <t>400-650 kg</t>
  </si>
  <si>
    <t>500-650 kg</t>
  </si>
  <si>
    <t>60-65 km/h</t>
  </si>
  <si>
    <t>Fuel Efficiency</t>
  </si>
  <si>
    <t>28-35 km/L</t>
  </si>
  <si>
    <t>Fuel Type</t>
  </si>
  <si>
    <t>Petrol/Gasoline</t>
  </si>
  <si>
    <t>Fuel Tank Capacity</t>
  </si>
  <si>
    <t>12-15 L</t>
  </si>
  <si>
    <t>Engine &amp; Performance</t>
  </si>
  <si>
    <t>Engine Type</t>
  </si>
  <si>
    <t>200cc, Single-Cylinder, 4-Stroke, Vertical Engine</t>
  </si>
  <si>
    <t>Cooling System</t>
  </si>
  <si>
    <t>Water-Cooled with Radiator, Expansion Tank &amp; Electric Fan</t>
  </si>
  <si>
    <t>Maximum Power</t>
  </si>
  <si>
    <t>10.5-11.5 kW (14-15.4 HP) @ 7,500 rpm</t>
  </si>
  <si>
    <t>Maximum Torque</t>
  </si>
  <si>
    <t>14.5-15.0 Nm @ 5,500 rpm</t>
  </si>
  <si>
    <t>Fuel System</t>
  </si>
  <si>
    <t>Carburetor</t>
  </si>
  <si>
    <t>Ignition System</t>
  </si>
  <si>
    <t>CDI (Capacitor Discharge Ignition)</t>
  </si>
  <si>
    <t>Starting System</t>
  </si>
  <si>
    <t>Electric Start + Kick Start</t>
  </si>
  <si>
    <t>5-Speed Constant Mesh Manual</t>
  </si>
  <si>
    <t>Clutch Type</t>
  </si>
  <si>
    <t>Hand or Foot Clutch Operated</t>
  </si>
  <si>
    <t>Reverse Gear</t>
  </si>
  <si>
    <t>Auxiliary Reverse Lever</t>
  </si>
  <si>
    <t>Final Drive</t>
  </si>
  <si>
    <t>Shaft Drive</t>
  </si>
  <si>
    <t>Rear Axle</t>
  </si>
  <si>
    <t>Heavy-Duty Differential Axle</t>
  </si>
  <si>
    <t>Overall Length</t>
  </si>
  <si>
    <t>3,200-3,400 mm</t>
  </si>
  <si>
    <t>Overall Width</t>
  </si>
  <si>
    <t>1,250-1,300 mm</t>
  </si>
  <si>
    <t>Overall Height</t>
  </si>
  <si>
    <t>Approx. 1,750 mm</t>
  </si>
  <si>
    <t>160-180 mm</t>
  </si>
  <si>
    <t>Kerb/Net Weight</t>
  </si>
  <si>
    <t>380-420 kg</t>
  </si>
  <si>
    <t>Chassis &amp; Suspension</t>
  </si>
  <si>
    <t>Hydraulic Telescopic Fork with Heavy-Duty External Coil Springs</t>
  </si>
  <si>
    <t>5-7 Leaf Spring Assembly with Dual Hydraulic Shock Absorbers</t>
  </si>
  <si>
    <t>Chassis Design</t>
  </si>
  <si>
    <t>Reinforced Frame with Double Front Shock Absorbers</t>
  </si>
  <si>
    <t>Service Brakes</t>
  </si>
  <si>
    <t>Mechanical Drum Brakes (Optional Hydraulic Drum Brakes)</t>
  </si>
  <si>
    <t>Mechanical Hand Lever Type</t>
  </si>
  <si>
    <t>Tyre Size</t>
  </si>
  <si>
    <t>4.50-12 or 5.00-12 Heavy-Duty Tyres</t>
  </si>
  <si>
    <t>Body &amp; Cabin</t>
  </si>
  <si>
    <t>Cabin Type</t>
  </si>
  <si>
    <t>Open-Air Canvas Roof or Fully Enclosed Metallic Cabin</t>
  </si>
  <si>
    <t>Passenger Doors</t>
  </si>
  <si>
    <t>Available on Enclosed Version</t>
  </si>
  <si>
    <t>Weather Protection</t>
  </si>
  <si>
    <t>Canvas Roof / Full Cabin Enclosure</t>
  </si>
  <si>
    <t>Water-Cooled Engine</t>
  </si>
  <si>
    <t>Yes</t>
  </si>
  <si>
    <t>Electric Start</t>
  </si>
  <si>
    <t>Kick Start Backup</t>
  </si>
  <si>
    <t>Differential Rear Axle</t>
  </si>
  <si>
    <t>Heavy-Duty Suspension</t>
  </si>
  <si>
    <t>Application</t>
  </si>
  <si>
    <t>Intended Use</t>
  </si>
  <si>
    <t>Urban &amp; Rural Passenger Transport, Fleet Operations, Commercial Service</t>
  </si>
  <si>
    <t>No</t>
  </si>
  <si>
    <t xml:space="preserve">JP YH </t>
  </si>
  <si>
    <t xml:space="preserve">Country Supplied </t>
  </si>
  <si>
    <t xml:space="preserve">India &amp; Pakistan </t>
  </si>
  <si>
    <t>Philippines</t>
  </si>
  <si>
    <t>Disc Motor with Differential Gear</t>
  </si>
  <si>
    <t>Motor Power</t>
  </si>
  <si>
    <t>SLA Battery</t>
  </si>
  <si>
    <t>Charger Type</t>
  </si>
  <si>
    <t>60 V, 15 A</t>
  </si>
  <si>
    <t>Up to 6 Hours</t>
  </si>
  <si>
    <t>LED Display Indicator</t>
  </si>
  <si>
    <t>1. 5 Years Frame
2. 1 Year Dynamo
3. 3 Months Charger &amp; Controller
4. 6 Months Battery</t>
  </si>
  <si>
    <t>Selis Bromo</t>
  </si>
  <si>
    <t>Indonesia</t>
  </si>
  <si>
    <t>China, Indonesia, Pakistan, Guatamala</t>
  </si>
  <si>
    <t>Range</t>
  </si>
  <si>
    <t>50 km (@ WMTC)</t>
  </si>
  <si>
    <t>35 km/h</t>
  </si>
  <si>
    <t>L × W × H</t>
  </si>
  <si>
    <t>2175 × 950 × 1710 mm</t>
  </si>
  <si>
    <t>Type</t>
  </si>
  <si>
    <t>Graphene</t>
  </si>
  <si>
    <t>72V 23Ah</t>
  </si>
  <si>
    <t>TTFAR High-Performance Motor</t>
  </si>
  <si>
    <t>1000 W</t>
  </si>
  <si>
    <t>2200 W</t>
  </si>
  <si>
    <t>Front</t>
  </si>
  <si>
    <t>Disc</t>
  </si>
  <si>
    <t>Rear</t>
  </si>
  <si>
    <t>Drum</t>
  </si>
  <si>
    <t>Tyres</t>
  </si>
  <si>
    <t>90/70-12</t>
  </si>
  <si>
    <t>3.5-100</t>
  </si>
  <si>
    <t>Hydraulic</t>
  </si>
  <si>
    <t xml:space="preserve">Countries Sold </t>
  </si>
  <si>
    <t xml:space="preserve">Philippines, Vietnam and Indonesia </t>
  </si>
  <si>
    <t>China, Indonesia, Vietnam, Philippines</t>
  </si>
  <si>
    <t>Yadea CL9s</t>
  </si>
  <si>
    <t>2175 mm</t>
  </si>
  <si>
    <t>950 mm</t>
  </si>
  <si>
    <t>1710 mm</t>
  </si>
  <si>
    <t>35 km/hr</t>
  </si>
  <si>
    <t>~50 km</t>
  </si>
  <si>
    <t>Closed Cabin</t>
  </si>
  <si>
    <t>Steering Round, MP3 &amp; MP5 entertainment system, Visual reversing radar, Seat belt, USB, Leather-like ground, AC (optional)</t>
  </si>
  <si>
    <t>Dimension(L*W*H)(mm):</t>
  </si>
  <si>
    <t>4150mm×1580mm×1920mm</t>
  </si>
  <si>
    <t>Cargo Box Length (mm):</t>
  </si>
  <si>
    <t>2400mm×1500mm×1250mm</t>
  </si>
  <si>
    <t>Chassis:</t>
  </si>
  <si>
    <t>FR.: 50*100*3.0mm</t>
  </si>
  <si>
    <t>Wheel Base(mm):</t>
  </si>
  <si>
    <t>3430mm</t>
  </si>
  <si>
    <t>Track (mm):</t>
  </si>
  <si>
    <t>1320mm</t>
  </si>
  <si>
    <t>Kerb Weight(kg):</t>
  </si>
  <si>
    <t>840kg (excld. Spare tire)</t>
  </si>
  <si>
    <t>Loading Capacity(kg):</t>
  </si>
  <si>
    <t>1000KG (Max. climbing test 2650, please contact us for Video)</t>
  </si>
  <si>
    <t>Min Ground Clearance(mm):</t>
  </si>
  <si>
    <t>165mm</t>
  </si>
  <si>
    <t>Maximum speed(Km/h):</t>
  </si>
  <si>
    <t>≤50Km/h</t>
  </si>
  <si>
    <t>Steering:</t>
  </si>
  <si>
    <t>Steering Round/Handle bar</t>
  </si>
  <si>
    <t>Front Suspension:</t>
  </si>
  <si>
    <t>4 Columns 4 springs telescopic</t>
  </si>
  <si>
    <t>Rear Suspension:</t>
  </si>
  <si>
    <t>7+2 Steel plate leafs spring,  mini-car 1180 Rear Axle</t>
  </si>
  <si>
    <t>Starting Mode:</t>
  </si>
  <si>
    <t>Electric/Kick </t>
  </si>
  <si>
    <t>Drive Mode:</t>
  </si>
  <si>
    <t>Shaft drive </t>
  </si>
  <si>
    <t>Gearshift Mode:</t>
  </si>
  <si>
    <t>Foot  </t>
  </si>
  <si>
    <t>Clutch Mode:</t>
  </si>
  <si>
    <t>Manual</t>
  </si>
  <si>
    <t>Brake Mode(F/R):</t>
  </si>
  <si>
    <t>Fr. &amp; Rr.：φ250 oil brake</t>
  </si>
  <si>
    <t>Fuel Tank Capacity(L):</t>
  </si>
  <si>
    <t>34L</t>
  </si>
  <si>
    <t>Tyre Size(F/R):</t>
  </si>
  <si>
    <t>5.0-12 Off-road curve</t>
  </si>
  <si>
    <t>Fuel Type :</t>
  </si>
  <si>
    <t>Gasoline</t>
  </si>
  <si>
    <t>Min.Fuel Consumption(g/kW.h)</t>
  </si>
  <si>
    <t>306g/kW.h</t>
  </si>
  <si>
    <t>Turning Radius(m):</t>
  </si>
  <si>
    <t>5.2m</t>
  </si>
  <si>
    <t>Transmission:</t>
  </si>
  <si>
    <t>4 Forwards + 1 Reverse + 1 Booster</t>
  </si>
  <si>
    <t>Battery:</t>
  </si>
  <si>
    <t>12V 45Ah, Maintenance-free</t>
  </si>
  <si>
    <t>Engine</t>
  </si>
  <si>
    <t>Engine Mode :</t>
  </si>
  <si>
    <t>465MY</t>
  </si>
  <si>
    <t>Displacement(ml):</t>
  </si>
  <si>
    <t>0.97L</t>
  </si>
  <si>
    <t>Bore×Stroke (mm):</t>
  </si>
  <si>
    <t>65.5mm×72mm</t>
  </si>
  <si>
    <t>Rated Power &amp; Rotating Speed:</t>
  </si>
  <si>
    <t>32kW/5000(1±5%)r/min</t>
  </si>
  <si>
    <t>Max.Torgue &amp; Rotating Speed:</t>
  </si>
  <si>
    <t>69.6N.m/(3000~4000r/min)</t>
  </si>
  <si>
    <t>Compression Ratio:</t>
  </si>
  <si>
    <t>8.8:1</t>
  </si>
  <si>
    <t>Ignition mode:</t>
  </si>
  <si>
    <t>C.D.I.</t>
  </si>
  <si>
    <t>Clutch mode:</t>
  </si>
  <si>
    <t>Foot</t>
  </si>
  <si>
    <t>Optional</t>
  </si>
  <si>
    <t>Tyre Size:</t>
  </si>
  <si>
    <t>5.5-13/6.0-13; Double Rear Tyre</t>
  </si>
  <si>
    <t>Cargo Box Size(mm):</t>
  </si>
  <si>
    <t>L: 2000~2500; W: 1400~1500</t>
  </si>
  <si>
    <t>Engine:</t>
  </si>
  <si>
    <t>800CC/1000CC</t>
  </si>
  <si>
    <t>Color options:</t>
  </si>
  <si>
    <t>Red/Army Green/Flash Green/Gold/Orange/Blue</t>
  </si>
  <si>
    <t>3100mm×1300mm×1760mm</t>
  </si>
  <si>
    <t>Passenger Cabin Size (mm):</t>
  </si>
  <si>
    <t>1600mm×1250mm×400mm (7 seaters)</t>
  </si>
  <si>
    <t>40*60*3.0mm</t>
  </si>
  <si>
    <t>2350mm</t>
  </si>
  <si>
    <t>1110mm</t>
  </si>
  <si>
    <t>460kg</t>
  </si>
  <si>
    <t>400KG</t>
  </si>
  <si>
    <t>170mm</t>
  </si>
  <si>
    <t>Handle bar</t>
  </si>
  <si>
    <t>Swing arm rock shock</t>
  </si>
  <si>
    <t>6 pcs steel plate leafs spring, Chang'an Rear axle</t>
  </si>
  <si>
    <t>Fr.: 130 Mechanic; Rr.: 220 Oil brake</t>
  </si>
  <si>
    <t>12L</t>
  </si>
  <si>
    <t>4.5-12</t>
  </si>
  <si>
    <t>355g/kW.h</t>
  </si>
  <si>
    <t>3.5m</t>
  </si>
  <si>
    <t>5 Forwards &amp; 1 Reverse Gear  </t>
  </si>
  <si>
    <t>12V 18Ah</t>
  </si>
  <si>
    <t>Single cylinder,4-stroke,air cooled   </t>
  </si>
  <si>
    <t>149.5ml</t>
  </si>
  <si>
    <t>62mm×49.5mm</t>
  </si>
  <si>
    <t>8.5Kw/8000r/min</t>
  </si>
  <si>
    <t>12N.m/7500r/min</t>
  </si>
  <si>
    <t>Compression:</t>
  </si>
  <si>
    <t>9.2:1</t>
  </si>
  <si>
    <t>CDI</t>
  </si>
  <si>
    <t>Cabin: </t>
  </si>
  <si>
    <t>ABS</t>
  </si>
  <si>
    <t>5.0-12</t>
  </si>
  <si>
    <t>150/175/200</t>
  </si>
  <si>
    <t>Brake Mode:</t>
  </si>
  <si>
    <t>Mechanic/Oil</t>
  </si>
  <si>
    <t>Lead-acid 60V58Ah</t>
  </si>
  <si>
    <t>Motor:</t>
  </si>
  <si>
    <t>60V/72V  1200W（permanent magnet square wave）</t>
  </si>
  <si>
    <t>Controller:</t>
  </si>
  <si>
    <t>60/72V 24 tube 55A Square wave controller</t>
  </si>
  <si>
    <t>2950mm×1200mm×1460mm</t>
  </si>
  <si>
    <t>1600mm*1100mm*950mm</t>
  </si>
  <si>
    <t>FR.: 40*80*2.5mm, RR: 40*80*2.0mm</t>
  </si>
  <si>
    <t>1850mm</t>
  </si>
  <si>
    <t>960mm</t>
  </si>
  <si>
    <t>615kg</t>
  </si>
  <si>
    <t>500kg</t>
  </si>
  <si>
    <t>≤35Km/h</t>
  </si>
  <si>
    <t>Front Suspension Mode:</t>
  </si>
  <si>
    <t>4 Columns 4 Springs</t>
  </si>
  <si>
    <t>Rear Suspension Mode :</t>
  </si>
  <si>
    <t>5 pcs steel plate leafs spring, Booster E-Rear axle</t>
  </si>
  <si>
    <t>Electric/Kick</t>
  </si>
  <si>
    <t>Shaft drive</t>
  </si>
  <si>
    <t>Fr.: Ф130 Mechanic  &amp; Rr.:  Ф160 Mechanic </t>
  </si>
  <si>
    <t>Mileage:</t>
  </si>
  <si>
    <t>80KM</t>
  </si>
  <si>
    <t>2.9m</t>
  </si>
  <si>
    <t>3 forwards+1 reverse+1 booster</t>
  </si>
  <si>
    <t>Single cylinder,4-stroke,water cooled</t>
  </si>
  <si>
    <t>275ml</t>
  </si>
  <si>
    <t>74mm×64mm</t>
  </si>
  <si>
    <t>12.5Kw/6500r/min</t>
  </si>
  <si>
    <t>21N.m/4500r/min</t>
  </si>
  <si>
    <t>10.4:1</t>
  </si>
  <si>
    <t>4.50-12</t>
  </si>
  <si>
    <t>Cargo Box Length(mm):</t>
  </si>
  <si>
    <t>L: 1000-2000; W: 500-1000</t>
  </si>
  <si>
    <t>Color options：</t>
  </si>
  <si>
    <t>Shipment</t>
  </si>
  <si>
    <t>Container Loading</t>
  </si>
  <si>
    <t>27 Units in CKD/40HQ</t>
  </si>
  <si>
    <t>Electric Passenger</t>
  </si>
  <si>
    <t>150km</t>
  </si>
  <si>
    <t>18 Degree</t>
  </si>
  <si>
    <t>70 km/h</t>
  </si>
  <si>
    <t>10 kW</t>
  </si>
  <si>
    <t xml:space="preserve">Sri Lanka </t>
  </si>
  <si>
    <t>ETX - Elektroteq</t>
  </si>
  <si>
    <t>HERMI TRI - 01</t>
  </si>
  <si>
    <t>3 kW</t>
  </si>
  <si>
    <t>50 - 70 km/h</t>
  </si>
  <si>
    <t xml:space="preserve">Lithium </t>
  </si>
  <si>
    <t>72V 210A</t>
  </si>
  <si>
    <t>2h - 6hr</t>
  </si>
  <si>
    <t>Hydraulic Shock absorbers</t>
  </si>
  <si>
    <t>5 years/ 150000 km</t>
  </si>
  <si>
    <t>200 - 220 km</t>
  </si>
  <si>
    <t xml:space="preserve">Nepal </t>
  </si>
  <si>
    <t>Youdha E pod</t>
  </si>
  <si>
    <t>Model</t>
  </si>
  <si>
    <t>E-Pod</t>
  </si>
  <si>
    <t>Vehicle Category</t>
  </si>
  <si>
    <t>L5-M Monocoque</t>
  </si>
  <si>
    <t>Chassis Type</t>
  </si>
  <si>
    <t>Monocoque</t>
  </si>
  <si>
    <t>11.8 kWh</t>
  </si>
  <si>
    <t>Li-ion, 51.2 V (LPF Battery)</t>
  </si>
  <si>
    <t>PMSM Advanced Motor</t>
  </si>
  <si>
    <t>6 kW</t>
  </si>
  <si>
    <t>Torque</t>
  </si>
  <si>
    <t>53 Nm</t>
  </si>
  <si>
    <t>45 km/hr</t>
  </si>
  <si>
    <t>227 km*</t>
  </si>
  <si>
    <t>13° / 22%</t>
  </si>
  <si>
    <t>Off-board / On-board (Optional)</t>
  </si>
  <si>
    <t>4 – 5 Hours</t>
  </si>
  <si>
    <t>Charging Capacity</t>
  </si>
  <si>
    <t>Communication Protocol</t>
  </si>
  <si>
    <t>CAN 2.0B</t>
  </si>
  <si>
    <t>Cluster</t>
  </si>
  <si>
    <t>Digital LED Cluster, 7" Smart CAN</t>
  </si>
  <si>
    <t>D+3 (Driver + 3 Passengers)</t>
  </si>
  <si>
    <t>Hydraulic Brakes with Regenerative Braking</t>
  </si>
  <si>
    <t>Lamps</t>
  </si>
  <si>
    <t>Integrated Head &amp; Tail Lamps</t>
  </si>
  <si>
    <t>Dimensions (L × W × H)</t>
  </si>
  <si>
    <t>2750 × 1340 × 1730 mm</t>
  </si>
  <si>
    <t>2100 mm</t>
  </si>
  <si>
    <t>120/80-R12, 8PR</t>
  </si>
  <si>
    <t>Integrated Drivetrain in Rear Axle with Rigid-Type Drive Shaft</t>
  </si>
  <si>
    <t>Front Facia</t>
  </si>
  <si>
    <t>Integrated Front Facia with Laminated Glass</t>
  </si>
  <si>
    <t>Wiper</t>
  </si>
  <si>
    <t>Motorized Wiper Motor</t>
  </si>
  <si>
    <t>Hill Assist</t>
  </si>
  <si>
    <t>Vehicle Tracking</t>
  </si>
  <si>
    <t>Cloud Monitoring</t>
  </si>
  <si>
    <t>Smart Battery</t>
  </si>
  <si>
    <t>Reverse Horn</t>
  </si>
  <si>
    <t>Music System</t>
  </si>
  <si>
    <t>Emergency Cut-Off</t>
  </si>
  <si>
    <t>Wider Windscreen</t>
  </si>
  <si>
    <t>LED Head Lamp with DRL</t>
  </si>
  <si>
    <t>Integrated LED Tail Lamp</t>
  </si>
  <si>
    <t>Side Door Lock</t>
  </si>
  <si>
    <t>Driver Console</t>
  </si>
  <si>
    <t>Smart Digital Driver Console</t>
  </si>
  <si>
    <t>Tubeless Tyres</t>
  </si>
  <si>
    <t>Service Package</t>
  </si>
  <si>
    <t>2 Years Free Service</t>
  </si>
  <si>
    <t>60 Months / 1,30,000 km</t>
  </si>
  <si>
    <t>Clutch</t>
  </si>
  <si>
    <t>Not Required</t>
  </si>
  <si>
    <t>Gear</t>
  </si>
  <si>
    <t>Noise Level</t>
  </si>
  <si>
    <t>Zero Noise</t>
  </si>
  <si>
    <t>Vibration</t>
  </si>
  <si>
    <t>Zero Vibration</t>
  </si>
  <si>
    <t>Eco &amp; Boost Mode</t>
  </si>
  <si>
    <t>Mobile App Features</t>
  </si>
  <si>
    <t>Vehicle Modes, Alerts, Distance to Empty, Odometer, Real-Time Battery Status, Key Status</t>
  </si>
  <si>
    <t>Emission</t>
  </si>
  <si>
    <t>Zero Emission</t>
  </si>
  <si>
    <t>Specification / Feature</t>
  </si>
  <si>
    <t>Bajaj RE Petrol/EFi</t>
  </si>
  <si>
    <t>TVS King Petrol</t>
  </si>
  <si>
    <t>Atul RIK Petrol</t>
  </si>
  <si>
    <t>Engine capacity</t>
  </si>
  <si>
    <t>198.8 cc</t>
  </si>
  <si>
    <t>199.6 cc</t>
  </si>
  <si>
    <t>198.6 cc</t>
  </si>
  <si>
    <t>Configuration</t>
  </si>
  <si>
    <t>Single-cylinder, 4-stroke</t>
  </si>
  <si>
    <t>Fuel system</t>
  </si>
  <si>
    <t>EFI on specified EFi model</t>
  </si>
  <si>
    <t>EFI on specified Deluxe EFI variant</t>
  </si>
  <si>
    <t>Not confirmed</t>
  </si>
  <si>
    <t>Maximum power</t>
  </si>
  <si>
    <t>~10 hp @ 5,000 rpm</t>
  </si>
  <si>
    <t>~10.2 hp @ 5,500 rpm</t>
  </si>
  <si>
    <t>11.5 hp @ 5,750 rpm</t>
  </si>
  <si>
    <t>Maximum torque</t>
  </si>
  <si>
    <t>16.3 Nm @ 3,500 rpm</t>
  </si>
  <si>
    <t>15.5 Nm @ 3,750 rpm</t>
  </si>
  <si>
    <t>15.8 Nm @ 3,000 rpm</t>
  </si>
  <si>
    <t>Forward gears</t>
  </si>
  <si>
    <t>Reverse gears</t>
  </si>
  <si>
    <t>Gear-shift type</t>
  </si>
  <si>
    <t>Handlebar shift</t>
  </si>
  <si>
    <t>Constant mesh</t>
  </si>
  <si>
    <t>Gross vehicle weight (GVW)</t>
  </si>
  <si>
    <t>713 kg</t>
  </si>
  <si>
    <t>720 kg</t>
  </si>
  <si>
    <t>700 kg</t>
  </si>
  <si>
    <t>Main use</t>
  </si>
  <si>
    <t>City taxi and commuting</t>
  </si>
  <si>
    <t>Urban passenger transport</t>
  </si>
  <si>
    <t>Budget passenger transport</t>
  </si>
  <si>
    <t>Starting</t>
  </si>
  <si>
    <t>Electric starting</t>
  </si>
  <si>
    <t>Confirm exact variant</t>
  </si>
  <si>
    <t>Available on documented versions</t>
  </si>
  <si>
    <t>Dashboard</t>
  </si>
  <si>
    <t>Instrument cluster</t>
  </si>
  <si>
    <t>Variant-dependent</t>
  </si>
  <si>
    <t>Car-style dashboard</t>
  </si>
  <si>
    <t>Smart console on some versions</t>
  </si>
  <si>
    <t>Digital fuel meter</t>
  </si>
  <si>
    <t>Available on certain Deluxe+ versions</t>
  </si>
  <si>
    <t>Lighting</t>
  </si>
  <si>
    <t>Headlights</t>
  </si>
  <si>
    <t>Standard headlamps; exact setup to confirm</t>
  </si>
  <si>
    <t>Twin DC headlamps on documented versions</t>
  </si>
  <si>
    <t>Cheetah-style headlights</t>
  </si>
  <si>
    <t>Comfort</t>
  </si>
  <si>
    <t>Seat design</t>
  </si>
  <si>
    <t>Practical passenger seating</t>
  </si>
  <si>
    <t>Dual-tone seats on specified versions</t>
  </si>
  <si>
    <t>Passenger comfort-focused design</t>
  </si>
  <si>
    <t>Passenger legroom</t>
  </si>
  <si>
    <t>Exact measurements unavailable</t>
  </si>
  <si>
    <t>Legroom highlighted in product information</t>
  </si>
  <si>
    <t>Driver cabin lamp</t>
  </si>
  <si>
    <t>Mobile charging / USB</t>
  </si>
  <si>
    <t>Mobile charging socket on documented versions</t>
  </si>
  <si>
    <t>USB charging reported on some versions</t>
  </si>
  <si>
    <t>Storage / utility box</t>
  </si>
  <si>
    <t>Lockable utility box on certain Deluxe+ versions</t>
  </si>
  <si>
    <t>Luggage space highlighted</t>
  </si>
  <si>
    <t>Body and safety</t>
  </si>
  <si>
    <t>Body / chassis</t>
  </si>
  <si>
    <t>Exact Sri Lankan variant details to confirm</t>
  </si>
  <si>
    <t>Chassis-mounted bumper on documented versions</t>
  </si>
  <si>
    <t>Strong body and monocoque chassis highlighted by manufacturer</t>
  </si>
  <si>
    <t>Ownership</t>
  </si>
  <si>
    <t>Up to 20,000 km or 18 months advertised by Sri Lankan distributor, subject to conditions</t>
  </si>
  <si>
    <t>Confirm with local dealer</t>
  </si>
  <si>
    <t>Sri Lankan warranty not verified</t>
  </si>
  <si>
    <t>Local availability</t>
  </si>
  <si>
    <t>Sri Lankan market presence documented</t>
  </si>
  <si>
    <t>Current official availability not confirmed</t>
  </si>
  <si>
    <t>Spare parts and service</t>
  </si>
  <si>
    <t>Confirm local coverage</t>
  </si>
  <si>
    <t xml:space="preserve">Country </t>
  </si>
  <si>
    <t>Sri lanka</t>
  </si>
  <si>
    <t>2750 mm</t>
  </si>
  <si>
    <t>1340 mm</t>
  </si>
  <si>
    <t>1730 mm</t>
  </si>
  <si>
    <t>60 months/ 1,30,000 kms</t>
  </si>
  <si>
    <t>2460 mm</t>
  </si>
  <si>
    <t>1210 mm</t>
  </si>
  <si>
    <t>1750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</si>
</sst>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theme="1"/>
      <name val="Cambria"/>
      <family val="2"/>
    </font>
    <font>
      <sz val="10"/>
      <color rgb="FFFF0000"/>
      <name val="Cambria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10"/>
      <color rgb="FF333333"/>
      <name val="Cambria"/>
      <family val="1"/>
    </font>
    <font>
      <b/>
      <sz val="10"/>
      <color rgb="FF282828"/>
      <name val="Cambria"/>
      <family val="1"/>
    </font>
    <font>
      <sz val="10"/>
      <color rgb="FF282828"/>
      <name val="Cambria"/>
      <family val="1"/>
    </font>
    <font>
      <sz val="10"/>
      <name val="Cambria"/>
      <family val="1"/>
    </font>
    <font>
      <sz val="10"/>
      <name val="Cambria"/>
      <family val="1"/>
    </font>
    <font>
      <sz val="10"/>
      <name val="Cambria"/>
      <family val="1"/>
    </font>
    <font>
      <sz val="10"/>
      <color rgb="FFFF0000"/>
      <name val="Cambria"/>
      <family val="1"/>
    </font>
    <font>
      <b/>
      <sz val="18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FCFCFC"/>
        <bgColor indexed="64"/>
      </patternFill>
    </fill>
  </fills>
  <borders count="35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CCCCCC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thin">
        <color rgb="FF000000"/>
      </left>
      <right style="thin">
        <color rgb="FFDEE2E6"/>
      </right>
      <top style="thin">
        <color rgb="FFDEE2E6"/>
      </top>
      <bottom style="thin">
        <color rgb="FF000000"/>
      </bottom>
      <diagonal/>
    </border>
    <border>
      <left style="thin">
        <color rgb="FF000000"/>
      </left>
      <right style="thin">
        <color rgb="FFDEE2E6"/>
      </right>
      <top/>
      <bottom style="thin">
        <color rgb="FF000000"/>
      </bottom>
      <diagonal/>
    </border>
    <border>
      <left style="thin">
        <color rgb="FF000000"/>
      </left>
      <right style="thin">
        <color rgb="FFDEE2E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EE2E6"/>
      </left>
      <right style="thin">
        <color rgb="FFDEE2E6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2E6"/>
      </top>
      <bottom style="thin">
        <color rgb="FF000000"/>
      </bottom>
      <diagonal/>
    </border>
    <border>
      <left style="thin">
        <color rgb="FFDEE2E6"/>
      </left>
      <right style="thin">
        <color rgb="FFDEE2E6"/>
      </right>
      <top/>
      <bottom style="thin">
        <color rgb="FF00000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>
      <left style="thin">
        <color rgb="FF000000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000000"/>
      </left>
      <right style="thin">
        <color rgb="FF000000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000000"/>
      </right>
      <top style="thin">
        <color rgb="FF000000"/>
      </top>
      <bottom/>
      <diagonal/>
    </border>
    <border>
      <left style="thin">
        <color rgb="FFDEE2E6"/>
      </left>
      <right style="thin">
        <color rgb="FF000000"/>
      </right>
      <top/>
      <bottom/>
      <diagonal/>
    </border>
    <border>
      <left style="thin">
        <color rgb="FFDEE2E6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EE2E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 indent="1"/>
    </xf>
    <xf numFmtId="0" fontId="6" fillId="0" borderId="8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wrapText="1" indent="1"/>
    </xf>
    <xf numFmtId="0" fontId="6" fillId="0" borderId="10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4" fillId="0" borderId="0" xfId="0" applyFont="1"/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top" wrapText="1"/>
    </xf>
    <xf numFmtId="0" fontId="8" fillId="6" borderId="15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top" wrapText="1"/>
    </xf>
    <xf numFmtId="0" fontId="7" fillId="6" borderId="13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top" wrapText="1"/>
    </xf>
    <xf numFmtId="0" fontId="7" fillId="4" borderId="13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top" wrapText="1"/>
    </xf>
    <xf numFmtId="0" fontId="8" fillId="5" borderId="21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top" wrapText="1"/>
    </xf>
    <xf numFmtId="0" fontId="8" fillId="5" borderId="17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top" wrapText="1"/>
    </xf>
    <xf numFmtId="0" fontId="8" fillId="4" borderId="24" xfId="0" applyFont="1" applyFill="1" applyBorder="1" applyAlignment="1">
      <alignment horizontal="center" vertical="top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top" wrapText="1"/>
    </xf>
    <xf numFmtId="0" fontId="8" fillId="5" borderId="31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8" fillId="5" borderId="32" xfId="0" applyFont="1" applyFill="1" applyBorder="1" applyAlignment="1">
      <alignment horizontal="center" vertical="center" wrapText="1"/>
    </xf>
    <xf numFmtId="0" fontId="7" fillId="5" borderId="30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7" fillId="6" borderId="30" xfId="0" applyFont="1" applyFill="1" applyBorder="1" applyAlignment="1">
      <alignment horizontal="center" vertical="center" wrapText="1"/>
    </xf>
    <xf numFmtId="0" fontId="8" fillId="6" borderId="30" xfId="0" applyFont="1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 wrapText="1"/>
    </xf>
    <xf numFmtId="0" fontId="8" fillId="4" borderId="3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top" wrapText="1"/>
    </xf>
    <xf numFmtId="0" fontId="8" fillId="6" borderId="18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1">
    <v>6</v>
    <v>5</v>
    <v>HERMI Electric | Electric Bikes &amp; Three-Wheelers in Sri Lanka</v>
  </rv>
  <rv s="0">
    <v>7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9E40-DDF4-4893-8A56-6137F30CC951}">
  <dimension ref="B1:K44"/>
  <sheetViews>
    <sheetView tabSelected="1" topLeftCell="A3" zoomScale="46" workbookViewId="0">
      <pane xSplit="3" ySplit="1" topLeftCell="D4" activePane="bottomRight" state="frozen"/>
      <selection activeCell="A3" sqref="A3"/>
      <selection pane="topRight" activeCell="D3" sqref="D3"/>
      <selection pane="bottomLeft" activeCell="A4" sqref="A4"/>
      <selection pane="bottomRight" activeCell="I15" sqref="I15"/>
    </sheetView>
  </sheetViews>
  <sheetFormatPr defaultRowHeight="12.5" x14ac:dyDescent="0.25"/>
  <cols>
    <col min="2" max="2" width="19.1796875" customWidth="1"/>
    <col min="3" max="3" width="22.453125" customWidth="1"/>
    <col min="4" max="4" width="31.453125" customWidth="1"/>
    <col min="5" max="5" width="28.1796875" style="13" customWidth="1"/>
    <col min="6" max="7" width="34.54296875" style="13" customWidth="1"/>
    <col min="8" max="11" width="35.54296875" style="9" customWidth="1"/>
  </cols>
  <sheetData>
    <row r="1" spans="2:11" ht="36" customHeight="1" x14ac:dyDescent="0.25"/>
    <row r="2" spans="2:11" ht="30" customHeight="1" x14ac:dyDescent="0.25">
      <c r="B2" s="22" t="s">
        <v>286</v>
      </c>
      <c r="C2" s="23"/>
      <c r="D2" s="24" t="s">
        <v>299</v>
      </c>
      <c r="E2" s="24" t="s">
        <v>287</v>
      </c>
      <c r="F2" s="24" t="s">
        <v>288</v>
      </c>
      <c r="G2" s="24" t="s">
        <v>298</v>
      </c>
      <c r="H2" s="24" t="s">
        <v>321</v>
      </c>
      <c r="I2" s="24" t="s">
        <v>479</v>
      </c>
      <c r="J2" s="24" t="s">
        <v>479</v>
      </c>
      <c r="K2" s="24" t="s">
        <v>490</v>
      </c>
    </row>
    <row r="3" spans="2:11" ht="111.75" customHeight="1" x14ac:dyDescent="0.25">
      <c r="B3" s="23"/>
      <c r="C3" s="23"/>
      <c r="D3" s="21" t="e" vm="1">
        <v>#VALUE!</v>
      </c>
      <c r="E3" s="25" t="e" vm="2">
        <v>#VALUE!</v>
      </c>
      <c r="F3" s="26" t="e" vm="3">
        <v>#VALUE!</v>
      </c>
      <c r="G3" s="26" t="e" vm="4">
        <v>#VALUE!</v>
      </c>
      <c r="H3" s="21" t="e" vm="5">
        <v>#VALUE!</v>
      </c>
      <c r="I3" s="21" t="e" vm="6">
        <v>#VALUE!</v>
      </c>
      <c r="J3" s="21" t="e" vm="7">
        <v>#VALUE!</v>
      </c>
      <c r="K3" s="21" t="e" vm="8">
        <v>#VALUE!</v>
      </c>
    </row>
    <row r="4" spans="2:11" ht="30" customHeight="1" x14ac:dyDescent="0.25">
      <c r="B4" s="7" t="s">
        <v>0</v>
      </c>
      <c r="C4" s="7" t="s">
        <v>1</v>
      </c>
      <c r="D4" s="7" t="s">
        <v>285</v>
      </c>
      <c r="E4" s="7" t="s">
        <v>100</v>
      </c>
      <c r="F4" s="7" t="s">
        <v>99</v>
      </c>
      <c r="G4" s="7" t="s">
        <v>297</v>
      </c>
      <c r="H4" s="7" t="s">
        <v>322</v>
      </c>
      <c r="I4" s="7" t="s">
        <v>480</v>
      </c>
      <c r="J4" s="7" t="s">
        <v>481</v>
      </c>
      <c r="K4" s="7" t="s">
        <v>491</v>
      </c>
    </row>
    <row r="5" spans="2:11" ht="30" customHeight="1" x14ac:dyDescent="0.25">
      <c r="B5" s="70" t="s">
        <v>25</v>
      </c>
      <c r="C5" s="6" t="s">
        <v>26</v>
      </c>
      <c r="D5" s="6" t="s">
        <v>133</v>
      </c>
      <c r="E5" s="6" t="s">
        <v>102</v>
      </c>
      <c r="F5" s="6" t="s">
        <v>101</v>
      </c>
      <c r="G5" s="6" t="s">
        <v>474</v>
      </c>
      <c r="H5" s="21" t="s">
        <v>133</v>
      </c>
      <c r="I5" s="21" t="s">
        <v>474</v>
      </c>
      <c r="J5" s="21" t="s">
        <v>474</v>
      </c>
      <c r="K5" s="21" t="s">
        <v>474</v>
      </c>
    </row>
    <row r="6" spans="2:11" ht="30" customHeight="1" x14ac:dyDescent="0.25">
      <c r="B6" s="70"/>
      <c r="C6" s="6" t="s">
        <v>27</v>
      </c>
      <c r="D6" s="6" t="s">
        <v>76</v>
      </c>
      <c r="E6" s="6" t="s">
        <v>49</v>
      </c>
      <c r="F6" s="6" t="s">
        <v>103</v>
      </c>
      <c r="G6" s="6" t="s">
        <v>133</v>
      </c>
      <c r="H6" s="21" t="s">
        <v>133</v>
      </c>
      <c r="I6" s="21" t="s">
        <v>133</v>
      </c>
      <c r="J6" s="21" t="s">
        <v>133</v>
      </c>
      <c r="K6" s="21" t="str">
        <f>VLOOKUP(C6,'Youdha E Pod'!B:C,2,)</f>
        <v>D+3 (Driver + 3 Passengers)</v>
      </c>
    </row>
    <row r="7" spans="2:11" ht="30" customHeight="1" x14ac:dyDescent="0.25">
      <c r="B7" s="70" t="s">
        <v>35</v>
      </c>
      <c r="C7" s="6" t="s">
        <v>66</v>
      </c>
      <c r="D7" s="6" t="s">
        <v>161</v>
      </c>
      <c r="E7" s="6" t="s">
        <v>104</v>
      </c>
      <c r="F7" s="6" t="s">
        <v>67</v>
      </c>
      <c r="G7" s="6" t="s">
        <v>642</v>
      </c>
      <c r="H7" s="21" t="s">
        <v>323</v>
      </c>
      <c r="I7" s="21" t="s">
        <v>133</v>
      </c>
      <c r="J7" s="21" t="s">
        <v>133</v>
      </c>
      <c r="K7" s="21" t="s">
        <v>638</v>
      </c>
    </row>
    <row r="8" spans="2:11" ht="30" customHeight="1" x14ac:dyDescent="0.25">
      <c r="B8" s="70"/>
      <c r="C8" s="6" t="s">
        <v>68</v>
      </c>
      <c r="D8" s="6" t="s">
        <v>162</v>
      </c>
      <c r="E8" s="6" t="s">
        <v>105</v>
      </c>
      <c r="F8" s="6" t="s">
        <v>69</v>
      </c>
      <c r="G8" s="6" t="s">
        <v>643</v>
      </c>
      <c r="H8" s="21" t="s">
        <v>324</v>
      </c>
      <c r="I8" s="21" t="s">
        <v>133</v>
      </c>
      <c r="J8" s="21" t="s">
        <v>133</v>
      </c>
      <c r="K8" s="21" t="s">
        <v>639</v>
      </c>
    </row>
    <row r="9" spans="2:11" ht="30" customHeight="1" x14ac:dyDescent="0.25">
      <c r="B9" s="70"/>
      <c r="C9" s="6" t="s">
        <v>70</v>
      </c>
      <c r="D9" s="6" t="s">
        <v>163</v>
      </c>
      <c r="E9" s="6" t="s">
        <v>106</v>
      </c>
      <c r="F9" s="6" t="s">
        <v>71</v>
      </c>
      <c r="G9" s="6" t="s">
        <v>644</v>
      </c>
      <c r="H9" s="21" t="s">
        <v>325</v>
      </c>
      <c r="I9" s="21" t="s">
        <v>133</v>
      </c>
      <c r="J9" s="21" t="s">
        <v>133</v>
      </c>
      <c r="K9" s="21" t="s">
        <v>640</v>
      </c>
    </row>
    <row r="10" spans="2:11" ht="30" customHeight="1" x14ac:dyDescent="0.25">
      <c r="B10" s="70"/>
      <c r="C10" s="6" t="s">
        <v>10</v>
      </c>
      <c r="D10" s="6" t="s">
        <v>164</v>
      </c>
      <c r="E10" s="6" t="s">
        <v>108</v>
      </c>
      <c r="F10" s="6" t="s">
        <v>107</v>
      </c>
      <c r="G10" s="6" t="s">
        <v>133</v>
      </c>
      <c r="H10" s="21" t="s">
        <v>133</v>
      </c>
      <c r="I10" s="21" t="s">
        <v>133</v>
      </c>
      <c r="J10" s="21" t="s">
        <v>133</v>
      </c>
      <c r="K10" s="21" t="str">
        <f>VLOOKUP(C10,'Youdha E Pod'!B:C,2,)</f>
        <v>2100 mm</v>
      </c>
    </row>
    <row r="11" spans="2:11" ht="30" customHeight="1" x14ac:dyDescent="0.25">
      <c r="B11" s="70"/>
      <c r="C11" s="6" t="s">
        <v>11</v>
      </c>
      <c r="D11" s="6" t="s">
        <v>167</v>
      </c>
      <c r="E11" s="6" t="s">
        <v>61</v>
      </c>
      <c r="F11" s="6" t="s">
        <v>107</v>
      </c>
      <c r="G11" s="6" t="s">
        <v>133</v>
      </c>
      <c r="H11" s="21" t="s">
        <v>133</v>
      </c>
      <c r="I11" s="21" t="s">
        <v>133</v>
      </c>
      <c r="J11" s="21" t="s">
        <v>133</v>
      </c>
      <c r="K11" s="21" t="e">
        <f>VLOOKUP(C11,'Youdha E Pod'!B:C,2,)</f>
        <v>#N/A</v>
      </c>
    </row>
    <row r="12" spans="2:11" ht="30" customHeight="1" x14ac:dyDescent="0.25">
      <c r="B12" s="70" t="s">
        <v>109</v>
      </c>
      <c r="C12" s="6" t="s">
        <v>36</v>
      </c>
      <c r="D12" s="6" t="s">
        <v>107</v>
      </c>
      <c r="E12" s="6" t="s">
        <v>62</v>
      </c>
      <c r="F12" s="6" t="s">
        <v>73</v>
      </c>
      <c r="G12" s="6" t="s">
        <v>133</v>
      </c>
      <c r="H12" s="21" t="s">
        <v>133</v>
      </c>
      <c r="I12" s="21" t="s">
        <v>133</v>
      </c>
      <c r="J12" s="21" t="s">
        <v>133</v>
      </c>
      <c r="K12" s="21" t="s">
        <v>133</v>
      </c>
    </row>
    <row r="13" spans="2:11" ht="30" customHeight="1" x14ac:dyDescent="0.25">
      <c r="B13" s="70"/>
      <c r="C13" s="6" t="s">
        <v>12</v>
      </c>
      <c r="D13" s="6" t="s">
        <v>133</v>
      </c>
      <c r="E13" s="6" t="s">
        <v>110</v>
      </c>
      <c r="F13" s="6" t="s">
        <v>74</v>
      </c>
      <c r="G13" s="6" t="s">
        <v>133</v>
      </c>
      <c r="H13" s="21" t="s">
        <v>133</v>
      </c>
      <c r="I13" s="21" t="s">
        <v>133</v>
      </c>
      <c r="J13" s="21" t="s">
        <v>133</v>
      </c>
      <c r="K13" s="21" t="s">
        <v>133</v>
      </c>
    </row>
    <row r="14" spans="2:11" ht="30" customHeight="1" x14ac:dyDescent="0.25">
      <c r="B14" s="70"/>
      <c r="C14" s="6" t="s">
        <v>37</v>
      </c>
      <c r="D14" s="6" t="s">
        <v>107</v>
      </c>
      <c r="E14" s="6" t="s">
        <v>63</v>
      </c>
      <c r="F14" s="6" t="s">
        <v>75</v>
      </c>
      <c r="G14" s="6" t="s">
        <v>133</v>
      </c>
      <c r="H14" s="21" t="s">
        <v>133</v>
      </c>
      <c r="I14" s="21" t="s">
        <v>133</v>
      </c>
      <c r="J14" s="21" t="s">
        <v>133</v>
      </c>
      <c r="K14" s="21" t="s">
        <v>133</v>
      </c>
    </row>
    <row r="15" spans="2:11" ht="30" customHeight="1" x14ac:dyDescent="0.25">
      <c r="B15" s="70" t="s">
        <v>24</v>
      </c>
      <c r="C15" s="6" t="s">
        <v>3</v>
      </c>
      <c r="D15" s="6" t="s">
        <v>173</v>
      </c>
      <c r="E15" s="6" t="s">
        <v>50</v>
      </c>
      <c r="F15" s="6" t="s">
        <v>78</v>
      </c>
      <c r="G15" s="6" t="s">
        <v>289</v>
      </c>
      <c r="H15" s="21" t="s">
        <v>308</v>
      </c>
      <c r="I15" s="21" t="s">
        <v>133</v>
      </c>
      <c r="J15" s="21" t="s">
        <v>133</v>
      </c>
      <c r="K15" s="21" t="str">
        <f>VLOOKUP(C15,'Youdha E Pod'!B:C,2,)</f>
        <v>PMSM Advanced Motor</v>
      </c>
    </row>
    <row r="16" spans="2:11" ht="30" customHeight="1" x14ac:dyDescent="0.25">
      <c r="B16" s="70"/>
      <c r="C16" s="6" t="s">
        <v>29</v>
      </c>
      <c r="D16" s="6" t="s">
        <v>133</v>
      </c>
      <c r="E16" s="6" t="s">
        <v>51</v>
      </c>
      <c r="F16" s="6" t="s">
        <v>107</v>
      </c>
      <c r="G16" s="6" t="s">
        <v>133</v>
      </c>
      <c r="H16" s="21" t="str">
        <f>VLOOKUP(C16,'Yadea CL 9s'!C:D,2,)</f>
        <v>1000 W</v>
      </c>
      <c r="I16" s="21" t="s">
        <v>133</v>
      </c>
      <c r="J16" s="21" t="s">
        <v>133</v>
      </c>
      <c r="K16" s="21" t="s">
        <v>133</v>
      </c>
    </row>
    <row r="17" spans="2:11" ht="30" customHeight="1" x14ac:dyDescent="0.25">
      <c r="B17" s="70"/>
      <c r="C17" s="6" t="s">
        <v>30</v>
      </c>
      <c r="D17" s="6" t="s">
        <v>133</v>
      </c>
      <c r="E17" s="6" t="s">
        <v>52</v>
      </c>
      <c r="F17" s="6" t="s">
        <v>107</v>
      </c>
      <c r="G17" s="6" t="s">
        <v>133</v>
      </c>
      <c r="H17" s="21" t="str">
        <f>VLOOKUP(C17,'Yadea CL 9s'!C:D,2,)</f>
        <v>2200 W</v>
      </c>
      <c r="I17" s="21" t="s">
        <v>478</v>
      </c>
      <c r="J17" s="21" t="s">
        <v>482</v>
      </c>
      <c r="K17" s="21" t="s">
        <v>501</v>
      </c>
    </row>
    <row r="18" spans="2:11" ht="30" customHeight="1" x14ac:dyDescent="0.25">
      <c r="B18" s="70"/>
      <c r="C18" s="6" t="s">
        <v>111</v>
      </c>
      <c r="D18" s="6" t="s">
        <v>176</v>
      </c>
      <c r="E18" s="6" t="s">
        <v>113</v>
      </c>
      <c r="F18" s="6" t="s">
        <v>112</v>
      </c>
      <c r="G18" s="6" t="s">
        <v>133</v>
      </c>
      <c r="H18" s="21" t="s">
        <v>133</v>
      </c>
      <c r="I18" s="21" t="s">
        <v>133</v>
      </c>
      <c r="J18" s="21" t="s">
        <v>133</v>
      </c>
      <c r="K18" s="21" t="s">
        <v>133</v>
      </c>
    </row>
    <row r="19" spans="2:11" ht="30" customHeight="1" x14ac:dyDescent="0.25">
      <c r="B19" s="70" t="s">
        <v>28</v>
      </c>
      <c r="C19" s="6" t="s">
        <v>4</v>
      </c>
      <c r="D19" s="6" t="s">
        <v>133</v>
      </c>
      <c r="E19" s="6" t="s">
        <v>53</v>
      </c>
      <c r="F19" s="6" t="s">
        <v>81</v>
      </c>
      <c r="G19" s="6" t="s">
        <v>133</v>
      </c>
      <c r="H19" s="21" t="s">
        <v>326</v>
      </c>
      <c r="I19" s="21" t="s">
        <v>477</v>
      </c>
      <c r="J19" s="21" t="s">
        <v>483</v>
      </c>
      <c r="K19" s="21" t="str">
        <f>VLOOKUP(C19,'Youdha E Pod'!B:C,2,)</f>
        <v>45 km/hr</v>
      </c>
    </row>
    <row r="20" spans="2:11" ht="30" customHeight="1" x14ac:dyDescent="0.25">
      <c r="B20" s="70"/>
      <c r="C20" s="6" t="s">
        <v>31</v>
      </c>
      <c r="D20" s="6" t="s">
        <v>133</v>
      </c>
      <c r="E20" s="6" t="s">
        <v>54</v>
      </c>
      <c r="F20" s="6" t="s">
        <v>107</v>
      </c>
      <c r="G20" s="6" t="s">
        <v>133</v>
      </c>
      <c r="H20" s="21" t="s">
        <v>133</v>
      </c>
      <c r="I20" s="21" t="s">
        <v>133</v>
      </c>
      <c r="J20" s="21" t="s">
        <v>133</v>
      </c>
      <c r="K20" s="21" t="s">
        <v>133</v>
      </c>
    </row>
    <row r="21" spans="2:11" ht="30" customHeight="1" x14ac:dyDescent="0.25">
      <c r="B21" s="70"/>
      <c r="C21" s="6" t="s">
        <v>32</v>
      </c>
      <c r="D21" s="6" t="s">
        <v>133</v>
      </c>
      <c r="E21" s="6" t="s">
        <v>115</v>
      </c>
      <c r="F21" s="6" t="s">
        <v>114</v>
      </c>
      <c r="G21" s="6" t="s">
        <v>133</v>
      </c>
      <c r="H21" s="21" t="s">
        <v>133</v>
      </c>
      <c r="I21" s="21" t="s">
        <v>476</v>
      </c>
      <c r="J21" s="21" t="s">
        <v>133</v>
      </c>
      <c r="K21" s="21" t="str">
        <f>VLOOKUP(C21,'Youdha E Pod'!B:C,2,)</f>
        <v>13° / 22%</v>
      </c>
    </row>
    <row r="22" spans="2:11" ht="30" customHeight="1" x14ac:dyDescent="0.25">
      <c r="B22" s="70"/>
      <c r="C22" s="6" t="s">
        <v>121</v>
      </c>
      <c r="D22" s="6" t="s">
        <v>183</v>
      </c>
      <c r="E22" s="6" t="s">
        <v>123</v>
      </c>
      <c r="F22" s="6" t="s">
        <v>122</v>
      </c>
      <c r="G22" s="6" t="s">
        <v>133</v>
      </c>
      <c r="H22" s="6" t="s">
        <v>327</v>
      </c>
      <c r="I22" s="6" t="s">
        <v>475</v>
      </c>
      <c r="J22" s="6" t="s">
        <v>489</v>
      </c>
      <c r="K22" s="21" t="s">
        <v>133</v>
      </c>
    </row>
    <row r="23" spans="2:11" ht="30" customHeight="1" x14ac:dyDescent="0.25">
      <c r="B23" s="70" t="s">
        <v>116</v>
      </c>
      <c r="C23" s="6" t="s">
        <v>7</v>
      </c>
      <c r="D23" s="6" t="s">
        <v>133</v>
      </c>
      <c r="E23" s="6" t="s">
        <v>118</v>
      </c>
      <c r="F23" s="6" t="s">
        <v>117</v>
      </c>
      <c r="G23" s="6" t="s">
        <v>291</v>
      </c>
      <c r="H23" s="21" t="s">
        <v>133</v>
      </c>
      <c r="I23" s="21" t="s">
        <v>133</v>
      </c>
      <c r="J23" s="21" t="s">
        <v>484</v>
      </c>
      <c r="K23" s="21" t="str">
        <f>VLOOKUP(C23,'Youdha E Pod'!B:C,2,)</f>
        <v>Li-ion, 51.2 V (LPF Battery)</v>
      </c>
    </row>
    <row r="24" spans="2:11" ht="30" customHeight="1" x14ac:dyDescent="0.25">
      <c r="B24" s="70"/>
      <c r="C24" s="6" t="s">
        <v>8</v>
      </c>
      <c r="D24" s="6" t="s">
        <v>133</v>
      </c>
      <c r="E24" s="6" t="s">
        <v>55</v>
      </c>
      <c r="F24" s="6" t="s">
        <v>84</v>
      </c>
      <c r="G24" s="6" t="s">
        <v>133</v>
      </c>
      <c r="H24" s="21" t="s">
        <v>133</v>
      </c>
      <c r="I24" s="21" t="s">
        <v>133</v>
      </c>
      <c r="J24" s="21" t="s">
        <v>485</v>
      </c>
      <c r="K24" s="21" t="str">
        <f>VLOOKUP(C24,'Youdha E Pod'!B:C,2,)</f>
        <v>11.8 kWh</v>
      </c>
    </row>
    <row r="25" spans="2:11" ht="30" customHeight="1" x14ac:dyDescent="0.25">
      <c r="B25" s="70"/>
      <c r="C25" s="6" t="s">
        <v>119</v>
      </c>
      <c r="D25" s="6" t="s">
        <v>133</v>
      </c>
      <c r="E25" s="6" t="s">
        <v>56</v>
      </c>
      <c r="F25" s="6" t="s">
        <v>107</v>
      </c>
      <c r="G25" s="6" t="s">
        <v>133</v>
      </c>
      <c r="H25" s="21" t="s">
        <v>133</v>
      </c>
      <c r="I25" s="21" t="s">
        <v>133</v>
      </c>
      <c r="J25" s="21" t="s">
        <v>133</v>
      </c>
      <c r="K25" s="21" t="s">
        <v>133</v>
      </c>
    </row>
    <row r="26" spans="2:11" ht="30" customHeight="1" x14ac:dyDescent="0.25">
      <c r="B26" s="70"/>
      <c r="C26" s="6" t="s">
        <v>120</v>
      </c>
      <c r="D26" s="6" t="s">
        <v>133</v>
      </c>
      <c r="E26" s="6" t="s">
        <v>57</v>
      </c>
      <c r="F26" s="6" t="s">
        <v>107</v>
      </c>
      <c r="G26" s="6" t="s">
        <v>133</v>
      </c>
      <c r="H26" s="21" t="s">
        <v>133</v>
      </c>
      <c r="I26" s="21" t="s">
        <v>133</v>
      </c>
      <c r="J26" s="21" t="s">
        <v>133</v>
      </c>
      <c r="K26" s="21" t="s">
        <v>133</v>
      </c>
    </row>
    <row r="27" spans="2:11" ht="30" customHeight="1" x14ac:dyDescent="0.25">
      <c r="B27" s="70" t="s">
        <v>124</v>
      </c>
      <c r="C27" s="6" t="s">
        <v>9</v>
      </c>
      <c r="D27" s="6" t="s">
        <v>188</v>
      </c>
      <c r="E27" s="6" t="s">
        <v>126</v>
      </c>
      <c r="F27" s="6" t="s">
        <v>125</v>
      </c>
      <c r="G27" s="6" t="s">
        <v>294</v>
      </c>
      <c r="H27" s="21" t="s">
        <v>133</v>
      </c>
      <c r="I27" s="65" t="s">
        <v>133</v>
      </c>
      <c r="J27" s="21" t="s">
        <v>486</v>
      </c>
      <c r="K27" s="21" t="str">
        <f>VLOOKUP(C27,'Youdha E Pod'!B:C,2,)</f>
        <v>4 – 5 Hours</v>
      </c>
    </row>
    <row r="28" spans="2:11" ht="30" customHeight="1" x14ac:dyDescent="0.25">
      <c r="B28" s="70"/>
      <c r="C28" s="6" t="s">
        <v>33</v>
      </c>
      <c r="D28" s="6" t="s">
        <v>133</v>
      </c>
      <c r="E28" s="6" t="s">
        <v>59</v>
      </c>
      <c r="F28" s="6" t="s">
        <v>107</v>
      </c>
      <c r="G28" s="6" t="s">
        <v>133</v>
      </c>
      <c r="H28" s="21" t="s">
        <v>133</v>
      </c>
      <c r="I28" s="65" t="s">
        <v>133</v>
      </c>
      <c r="J28" s="21" t="s">
        <v>284</v>
      </c>
      <c r="K28" s="21" t="s">
        <v>133</v>
      </c>
    </row>
    <row r="29" spans="2:11" ht="30" customHeight="1" x14ac:dyDescent="0.25">
      <c r="B29" s="70"/>
      <c r="C29" s="6" t="s">
        <v>127</v>
      </c>
      <c r="D29" s="6" t="s">
        <v>133</v>
      </c>
      <c r="E29" s="6" t="s">
        <v>58</v>
      </c>
      <c r="F29" s="6" t="s">
        <v>107</v>
      </c>
      <c r="G29" s="6" t="s">
        <v>293</v>
      </c>
      <c r="H29" s="21" t="s">
        <v>133</v>
      </c>
      <c r="I29" s="65" t="s">
        <v>133</v>
      </c>
      <c r="J29" s="21" t="s">
        <v>133</v>
      </c>
      <c r="K29" s="21" t="s">
        <v>58</v>
      </c>
    </row>
    <row r="30" spans="2:11" ht="30" customHeight="1" x14ac:dyDescent="0.25">
      <c r="B30" s="70" t="s">
        <v>39</v>
      </c>
      <c r="C30" s="6" t="s">
        <v>14</v>
      </c>
      <c r="D30" s="6" t="s">
        <v>192</v>
      </c>
      <c r="E30" s="6" t="s">
        <v>128</v>
      </c>
      <c r="F30" s="6" t="s">
        <v>107</v>
      </c>
      <c r="G30" s="6" t="s">
        <v>133</v>
      </c>
      <c r="H30" s="21" t="s">
        <v>318</v>
      </c>
      <c r="I30" s="21" t="s">
        <v>133</v>
      </c>
      <c r="J30" s="21" t="s">
        <v>487</v>
      </c>
      <c r="K30" s="21" t="s">
        <v>133</v>
      </c>
    </row>
    <row r="31" spans="2:11" ht="30" customHeight="1" x14ac:dyDescent="0.25">
      <c r="B31" s="70"/>
      <c r="C31" s="6" t="s">
        <v>15</v>
      </c>
      <c r="D31" s="6" t="s">
        <v>193</v>
      </c>
      <c r="E31" s="6" t="s">
        <v>128</v>
      </c>
      <c r="F31" s="6" t="s">
        <v>129</v>
      </c>
      <c r="G31" s="6" t="s">
        <v>133</v>
      </c>
      <c r="H31" s="21" t="s">
        <v>318</v>
      </c>
      <c r="I31" s="21" t="s">
        <v>133</v>
      </c>
      <c r="J31" s="21" t="s">
        <v>487</v>
      </c>
      <c r="K31" s="21" t="s">
        <v>133</v>
      </c>
    </row>
    <row r="32" spans="2:11" ht="30" customHeight="1" x14ac:dyDescent="0.25">
      <c r="B32" s="70" t="s">
        <v>40</v>
      </c>
      <c r="C32" s="6" t="s">
        <v>17</v>
      </c>
      <c r="D32" s="6" t="s">
        <v>189</v>
      </c>
      <c r="E32" s="6" t="s">
        <v>131</v>
      </c>
      <c r="F32" s="6" t="s">
        <v>130</v>
      </c>
      <c r="G32" s="6" t="s">
        <v>18</v>
      </c>
      <c r="H32" s="6" t="s">
        <v>189</v>
      </c>
      <c r="I32" s="6" t="s">
        <v>133</v>
      </c>
      <c r="J32" s="6" t="s">
        <v>312</v>
      </c>
      <c r="K32" s="21" t="s">
        <v>133</v>
      </c>
    </row>
    <row r="33" spans="2:11" ht="30" customHeight="1" x14ac:dyDescent="0.25">
      <c r="B33" s="70"/>
      <c r="C33" s="6" t="s">
        <v>19</v>
      </c>
      <c r="D33" s="6" t="s">
        <v>155</v>
      </c>
      <c r="E33" s="6" t="s">
        <v>131</v>
      </c>
      <c r="F33" s="6" t="s">
        <v>132</v>
      </c>
      <c r="G33" s="6" t="s">
        <v>18</v>
      </c>
      <c r="H33" s="6" t="s">
        <v>155</v>
      </c>
      <c r="I33" s="6" t="s">
        <v>133</v>
      </c>
      <c r="J33" s="6" t="s">
        <v>314</v>
      </c>
      <c r="K33" s="21" t="s">
        <v>133</v>
      </c>
    </row>
    <row r="34" spans="2:11" ht="30" customHeight="1" x14ac:dyDescent="0.25">
      <c r="B34" s="70"/>
      <c r="C34" s="6" t="s">
        <v>20</v>
      </c>
      <c r="D34" s="6" t="s">
        <v>284</v>
      </c>
      <c r="E34" s="6" t="s">
        <v>21</v>
      </c>
      <c r="F34" s="6" t="s">
        <v>133</v>
      </c>
      <c r="G34" s="6" t="s">
        <v>133</v>
      </c>
      <c r="H34" s="21" t="s">
        <v>133</v>
      </c>
      <c r="I34" s="21" t="s">
        <v>133</v>
      </c>
      <c r="J34" s="21" t="s">
        <v>284</v>
      </c>
      <c r="K34" s="21" t="s">
        <v>133</v>
      </c>
    </row>
    <row r="35" spans="2:11" ht="30" customHeight="1" x14ac:dyDescent="0.25">
      <c r="B35" s="6" t="s">
        <v>134</v>
      </c>
      <c r="C35" s="6" t="s">
        <v>89</v>
      </c>
      <c r="D35" s="6" t="s">
        <v>133</v>
      </c>
      <c r="E35" s="6" t="s">
        <v>136</v>
      </c>
      <c r="F35" s="6" t="s">
        <v>135</v>
      </c>
      <c r="G35" s="6" t="s">
        <v>133</v>
      </c>
      <c r="H35" s="21" t="s">
        <v>133</v>
      </c>
      <c r="I35" s="21" t="s">
        <v>133</v>
      </c>
      <c r="J35" s="21" t="s">
        <v>133</v>
      </c>
      <c r="K35" s="21" t="s">
        <v>133</v>
      </c>
    </row>
    <row r="36" spans="2:11" ht="30" customHeight="1" x14ac:dyDescent="0.25">
      <c r="B36" s="70" t="s">
        <v>41</v>
      </c>
      <c r="C36" s="6" t="s">
        <v>42</v>
      </c>
      <c r="D36" s="6" t="s">
        <v>133</v>
      </c>
      <c r="E36" s="6" t="s">
        <v>137</v>
      </c>
      <c r="F36" s="6" t="s">
        <v>133</v>
      </c>
      <c r="G36" s="6" t="s">
        <v>133</v>
      </c>
      <c r="H36" s="21" t="s">
        <v>133</v>
      </c>
      <c r="I36" s="21" t="s">
        <v>133</v>
      </c>
      <c r="J36" s="21" t="s">
        <v>133</v>
      </c>
      <c r="K36" s="21" t="s">
        <v>133</v>
      </c>
    </row>
    <row r="37" spans="2:11" ht="30" customHeight="1" x14ac:dyDescent="0.25">
      <c r="B37" s="70"/>
      <c r="C37" s="6" t="s">
        <v>43</v>
      </c>
      <c r="D37" s="6" t="s">
        <v>133</v>
      </c>
      <c r="E37" s="6" t="s">
        <v>138</v>
      </c>
      <c r="F37" s="6" t="s">
        <v>133</v>
      </c>
      <c r="G37" s="6" t="s">
        <v>133</v>
      </c>
      <c r="H37" s="21" t="s">
        <v>133</v>
      </c>
      <c r="I37" s="21" t="s">
        <v>133</v>
      </c>
      <c r="J37" s="21" t="s">
        <v>133</v>
      </c>
      <c r="K37" s="21" t="s">
        <v>133</v>
      </c>
    </row>
    <row r="38" spans="2:11" ht="30" customHeight="1" x14ac:dyDescent="0.25">
      <c r="B38" s="70" t="s">
        <v>45</v>
      </c>
      <c r="C38" s="6" t="s">
        <v>22</v>
      </c>
      <c r="D38" s="6" t="s">
        <v>198</v>
      </c>
      <c r="E38" s="6" t="s">
        <v>139</v>
      </c>
      <c r="F38" s="6" t="s">
        <v>133</v>
      </c>
      <c r="G38" s="6" t="s">
        <v>295</v>
      </c>
      <c r="H38" s="21" t="s">
        <v>133</v>
      </c>
      <c r="I38" s="21" t="s">
        <v>133</v>
      </c>
      <c r="J38" s="21" t="s">
        <v>133</v>
      </c>
      <c r="K38" s="21" t="s">
        <v>133</v>
      </c>
    </row>
    <row r="39" spans="2:11" ht="30" customHeight="1" x14ac:dyDescent="0.25">
      <c r="B39" s="70"/>
      <c r="C39" s="6" t="s">
        <v>140</v>
      </c>
      <c r="D39" s="6" t="s">
        <v>133</v>
      </c>
      <c r="E39" s="6" t="s">
        <v>133</v>
      </c>
      <c r="F39" s="6" t="s">
        <v>141</v>
      </c>
      <c r="G39" s="6" t="s">
        <v>284</v>
      </c>
      <c r="H39" s="21" t="s">
        <v>133</v>
      </c>
      <c r="I39" s="21" t="s">
        <v>133</v>
      </c>
      <c r="J39" s="21" t="s">
        <v>133</v>
      </c>
      <c r="K39" s="21" t="s">
        <v>133</v>
      </c>
    </row>
    <row r="40" spans="2:11" ht="30" customHeight="1" x14ac:dyDescent="0.25">
      <c r="B40" s="70"/>
      <c r="C40" s="6" t="s">
        <v>142</v>
      </c>
      <c r="D40" s="6" t="s">
        <v>133</v>
      </c>
      <c r="E40" s="6" t="s">
        <v>133</v>
      </c>
      <c r="F40" s="6" t="s">
        <v>21</v>
      </c>
      <c r="G40" s="6" t="s">
        <v>284</v>
      </c>
      <c r="H40" s="21" t="s">
        <v>133</v>
      </c>
      <c r="I40" s="21" t="s">
        <v>133</v>
      </c>
      <c r="J40" s="21" t="s">
        <v>133</v>
      </c>
      <c r="K40" s="21" t="s">
        <v>133</v>
      </c>
    </row>
    <row r="41" spans="2:11" ht="30" customHeight="1" x14ac:dyDescent="0.25">
      <c r="B41" s="70"/>
      <c r="C41" s="6" t="s">
        <v>46</v>
      </c>
      <c r="D41" s="6" t="s">
        <v>133</v>
      </c>
      <c r="E41" s="6" t="s">
        <v>21</v>
      </c>
      <c r="F41" s="6" t="s">
        <v>133</v>
      </c>
      <c r="G41" s="6" t="s">
        <v>133</v>
      </c>
      <c r="H41" s="21" t="s">
        <v>133</v>
      </c>
      <c r="I41" s="21" t="s">
        <v>133</v>
      </c>
      <c r="J41" s="21" t="s">
        <v>133</v>
      </c>
      <c r="K41" s="21" t="s">
        <v>133</v>
      </c>
    </row>
    <row r="42" spans="2:11" ht="30" customHeight="1" x14ac:dyDescent="0.25">
      <c r="B42" s="70"/>
      <c r="C42" s="6" t="s">
        <v>143</v>
      </c>
      <c r="D42" s="6" t="s">
        <v>133</v>
      </c>
      <c r="E42" s="6" t="s">
        <v>21</v>
      </c>
      <c r="F42" s="6" t="s">
        <v>133</v>
      </c>
      <c r="G42" s="6" t="s">
        <v>133</v>
      </c>
      <c r="H42" s="21" t="s">
        <v>133</v>
      </c>
      <c r="I42" s="21" t="s">
        <v>133</v>
      </c>
      <c r="J42" s="21" t="s">
        <v>133</v>
      </c>
      <c r="K42" s="21" t="s">
        <v>133</v>
      </c>
    </row>
    <row r="43" spans="2:11" ht="30" customHeight="1" x14ac:dyDescent="0.25">
      <c r="B43" s="70"/>
      <c r="C43" s="6" t="s">
        <v>34</v>
      </c>
      <c r="D43" s="6" t="s">
        <v>133</v>
      </c>
      <c r="E43" s="6" t="s">
        <v>60</v>
      </c>
      <c r="F43" s="6" t="s">
        <v>133</v>
      </c>
      <c r="G43" s="6" t="s">
        <v>133</v>
      </c>
      <c r="H43" s="21" t="s">
        <v>133</v>
      </c>
      <c r="I43" s="21" t="s">
        <v>133</v>
      </c>
      <c r="J43" s="21" t="s">
        <v>133</v>
      </c>
      <c r="K43" s="21" t="s">
        <v>133</v>
      </c>
    </row>
    <row r="44" spans="2:11" ht="30" customHeight="1" x14ac:dyDescent="0.25">
      <c r="B44" s="6" t="s">
        <v>47</v>
      </c>
      <c r="C44" s="6" t="s">
        <v>48</v>
      </c>
      <c r="D44" s="6" t="s">
        <v>133</v>
      </c>
      <c r="E44" s="6" t="s">
        <v>64</v>
      </c>
      <c r="F44" s="6" t="s">
        <v>107</v>
      </c>
      <c r="G44" s="6" t="s">
        <v>296</v>
      </c>
      <c r="H44" s="21" t="s">
        <v>133</v>
      </c>
      <c r="I44" s="21" t="s">
        <v>133</v>
      </c>
      <c r="J44" s="21" t="s">
        <v>488</v>
      </c>
      <c r="K44" s="21" t="s">
        <v>641</v>
      </c>
    </row>
  </sheetData>
  <mergeCells count="11">
    <mergeCell ref="B5:B6"/>
    <mergeCell ref="B7:B11"/>
    <mergeCell ref="B12:B14"/>
    <mergeCell ref="B15:B18"/>
    <mergeCell ref="B23:B26"/>
    <mergeCell ref="B19:B22"/>
    <mergeCell ref="B27:B29"/>
    <mergeCell ref="B30:B31"/>
    <mergeCell ref="B32:B34"/>
    <mergeCell ref="B36:B37"/>
    <mergeCell ref="B38:B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935F-2B83-4FDA-9D23-1751506849C6}">
  <dimension ref="B3:F27"/>
  <sheetViews>
    <sheetView workbookViewId="0">
      <selection activeCell="F5" sqref="F5"/>
    </sheetView>
  </sheetViews>
  <sheetFormatPr defaultRowHeight="12.5" x14ac:dyDescent="0.25"/>
  <cols>
    <col min="2" max="3" width="17.7265625" customWidth="1"/>
    <col min="4" max="4" width="39.1796875" customWidth="1"/>
    <col min="5" max="5" width="32.26953125" customWidth="1"/>
    <col min="6" max="6" width="32.453125" customWidth="1"/>
  </cols>
  <sheetData>
    <row r="3" spans="2:6" ht="48" customHeight="1" x14ac:dyDescent="0.25">
      <c r="B3" s="22" t="s">
        <v>636</v>
      </c>
      <c r="C3" s="21"/>
      <c r="D3" s="71" t="s">
        <v>637</v>
      </c>
      <c r="E3" s="71"/>
      <c r="F3" s="71"/>
    </row>
    <row r="4" spans="2:6" ht="35.15" customHeight="1" x14ac:dyDescent="0.25">
      <c r="B4" s="66" t="s">
        <v>0</v>
      </c>
      <c r="C4" s="66" t="s">
        <v>556</v>
      </c>
      <c r="D4" s="66" t="s">
        <v>557</v>
      </c>
      <c r="E4" s="66" t="s">
        <v>558</v>
      </c>
      <c r="F4" s="67" t="s">
        <v>559</v>
      </c>
    </row>
    <row r="5" spans="2:6" ht="35.15" customHeight="1" x14ac:dyDescent="0.25">
      <c r="B5" s="68" t="s">
        <v>378</v>
      </c>
      <c r="C5" s="69" t="s">
        <v>560</v>
      </c>
      <c r="D5" s="69" t="s">
        <v>561</v>
      </c>
      <c r="E5" s="69" t="s">
        <v>562</v>
      </c>
      <c r="F5" s="69" t="s">
        <v>563</v>
      </c>
    </row>
    <row r="6" spans="2:6" ht="35.15" customHeight="1" x14ac:dyDescent="0.25">
      <c r="B6" s="69" t="s">
        <v>378</v>
      </c>
      <c r="C6" s="69" t="s">
        <v>564</v>
      </c>
      <c r="D6" s="69" t="s">
        <v>565</v>
      </c>
      <c r="E6" s="69" t="s">
        <v>565</v>
      </c>
      <c r="F6" s="69" t="s">
        <v>565</v>
      </c>
    </row>
    <row r="7" spans="2:6" ht="35.15" customHeight="1" x14ac:dyDescent="0.25">
      <c r="B7" s="69" t="s">
        <v>378</v>
      </c>
      <c r="C7" s="69" t="s">
        <v>566</v>
      </c>
      <c r="D7" s="69" t="s">
        <v>567</v>
      </c>
      <c r="E7" s="69" t="s">
        <v>568</v>
      </c>
      <c r="F7" s="69" t="s">
        <v>569</v>
      </c>
    </row>
    <row r="8" spans="2:6" ht="35.15" customHeight="1" x14ac:dyDescent="0.25">
      <c r="B8" s="69" t="s">
        <v>28</v>
      </c>
      <c r="C8" s="69" t="s">
        <v>570</v>
      </c>
      <c r="D8" s="69" t="s">
        <v>571</v>
      </c>
      <c r="E8" s="69" t="s">
        <v>572</v>
      </c>
      <c r="F8" s="69" t="s">
        <v>573</v>
      </c>
    </row>
    <row r="9" spans="2:6" ht="35.15" customHeight="1" x14ac:dyDescent="0.25">
      <c r="B9" s="69" t="s">
        <v>28</v>
      </c>
      <c r="C9" s="69" t="s">
        <v>574</v>
      </c>
      <c r="D9" s="69" t="s">
        <v>575</v>
      </c>
      <c r="E9" s="69" t="s">
        <v>576</v>
      </c>
      <c r="F9" s="69" t="s">
        <v>577</v>
      </c>
    </row>
    <row r="10" spans="2:6" ht="35.15" customHeight="1" x14ac:dyDescent="0.25">
      <c r="B10" s="68" t="s">
        <v>42</v>
      </c>
      <c r="C10" s="69" t="s">
        <v>578</v>
      </c>
      <c r="D10" s="69">
        <v>4</v>
      </c>
      <c r="E10" s="69">
        <v>4</v>
      </c>
      <c r="F10" s="69">
        <v>4</v>
      </c>
    </row>
    <row r="11" spans="2:6" ht="35.15" customHeight="1" x14ac:dyDescent="0.25">
      <c r="B11" s="69" t="s">
        <v>42</v>
      </c>
      <c r="C11" s="69" t="s">
        <v>579</v>
      </c>
      <c r="D11" s="69">
        <v>1</v>
      </c>
      <c r="E11" s="69">
        <v>1</v>
      </c>
      <c r="F11" s="69">
        <v>1</v>
      </c>
    </row>
    <row r="12" spans="2:6" ht="35.15" customHeight="1" x14ac:dyDescent="0.25">
      <c r="B12" s="69" t="s">
        <v>42</v>
      </c>
      <c r="C12" s="69" t="s">
        <v>580</v>
      </c>
      <c r="D12" s="69" t="s">
        <v>581</v>
      </c>
      <c r="E12" s="69" t="s">
        <v>581</v>
      </c>
      <c r="F12" s="69" t="s">
        <v>582</v>
      </c>
    </row>
    <row r="13" spans="2:6" ht="35.15" customHeight="1" x14ac:dyDescent="0.25">
      <c r="B13" s="68" t="s">
        <v>25</v>
      </c>
      <c r="C13" s="69" t="s">
        <v>583</v>
      </c>
      <c r="D13" s="69" t="s">
        <v>584</v>
      </c>
      <c r="E13" s="69" t="s">
        <v>585</v>
      </c>
      <c r="F13" s="69" t="s">
        <v>586</v>
      </c>
    </row>
    <row r="14" spans="2:6" ht="35.15" customHeight="1" x14ac:dyDescent="0.25">
      <c r="B14" s="69" t="s">
        <v>281</v>
      </c>
      <c r="C14" s="69" t="s">
        <v>587</v>
      </c>
      <c r="D14" s="69" t="s">
        <v>588</v>
      </c>
      <c r="E14" s="69" t="s">
        <v>589</v>
      </c>
      <c r="F14" s="69" t="s">
        <v>590</v>
      </c>
    </row>
    <row r="15" spans="2:6" ht="35.15" customHeight="1" x14ac:dyDescent="0.25">
      <c r="B15" s="68" t="s">
        <v>591</v>
      </c>
      <c r="C15" s="69" t="s">
        <v>592</v>
      </c>
      <c r="D15" s="69" t="s">
        <v>593</v>
      </c>
      <c r="E15" s="69" t="s">
        <v>594</v>
      </c>
      <c r="F15" s="69" t="s">
        <v>569</v>
      </c>
    </row>
    <row r="16" spans="2:6" ht="35.15" customHeight="1" x14ac:dyDescent="0.25">
      <c r="B16" s="68" t="s">
        <v>595</v>
      </c>
      <c r="C16" s="69" t="s">
        <v>596</v>
      </c>
      <c r="D16" s="69" t="s">
        <v>597</v>
      </c>
      <c r="E16" s="69" t="s">
        <v>598</v>
      </c>
      <c r="F16" s="69" t="s">
        <v>599</v>
      </c>
    </row>
    <row r="17" spans="2:6" ht="35.15" customHeight="1" x14ac:dyDescent="0.25">
      <c r="B17" s="69" t="s">
        <v>595</v>
      </c>
      <c r="C17" s="69" t="s">
        <v>600</v>
      </c>
      <c r="D17" s="69" t="s">
        <v>569</v>
      </c>
      <c r="E17" s="69" t="s">
        <v>601</v>
      </c>
      <c r="F17" s="69" t="s">
        <v>569</v>
      </c>
    </row>
    <row r="18" spans="2:6" ht="35.15" customHeight="1" x14ac:dyDescent="0.25">
      <c r="B18" s="68" t="s">
        <v>602</v>
      </c>
      <c r="C18" s="69" t="s">
        <v>603</v>
      </c>
      <c r="D18" s="69" t="s">
        <v>604</v>
      </c>
      <c r="E18" s="69" t="s">
        <v>605</v>
      </c>
      <c r="F18" s="69" t="s">
        <v>606</v>
      </c>
    </row>
    <row r="19" spans="2:6" ht="35.15" customHeight="1" x14ac:dyDescent="0.25">
      <c r="B19" s="68" t="s">
        <v>607</v>
      </c>
      <c r="C19" s="69" t="s">
        <v>608</v>
      </c>
      <c r="D19" s="69" t="s">
        <v>609</v>
      </c>
      <c r="E19" s="69" t="s">
        <v>610</v>
      </c>
      <c r="F19" s="69" t="s">
        <v>611</v>
      </c>
    </row>
    <row r="20" spans="2:6" ht="35.15" customHeight="1" x14ac:dyDescent="0.25">
      <c r="B20" s="69" t="s">
        <v>607</v>
      </c>
      <c r="C20" s="69" t="s">
        <v>612</v>
      </c>
      <c r="D20" s="69" t="s">
        <v>613</v>
      </c>
      <c r="E20" s="69" t="s">
        <v>614</v>
      </c>
      <c r="F20" s="69" t="s">
        <v>614</v>
      </c>
    </row>
    <row r="21" spans="2:6" ht="35.15" customHeight="1" x14ac:dyDescent="0.25">
      <c r="B21" s="69" t="s">
        <v>607</v>
      </c>
      <c r="C21" s="69" t="s">
        <v>615</v>
      </c>
      <c r="D21" s="69" t="s">
        <v>569</v>
      </c>
      <c r="E21" s="69" t="s">
        <v>594</v>
      </c>
      <c r="F21" s="69" t="s">
        <v>569</v>
      </c>
    </row>
    <row r="22" spans="2:6" ht="35.15" customHeight="1" x14ac:dyDescent="0.25">
      <c r="B22" s="68" t="s">
        <v>201</v>
      </c>
      <c r="C22" s="69" t="s">
        <v>616</v>
      </c>
      <c r="D22" s="69" t="s">
        <v>569</v>
      </c>
      <c r="E22" s="69" t="s">
        <v>617</v>
      </c>
      <c r="F22" s="69" t="s">
        <v>618</v>
      </c>
    </row>
    <row r="23" spans="2:6" ht="35.15" customHeight="1" x14ac:dyDescent="0.25">
      <c r="B23" s="69" t="s">
        <v>201</v>
      </c>
      <c r="C23" s="69" t="s">
        <v>619</v>
      </c>
      <c r="D23" s="69" t="s">
        <v>597</v>
      </c>
      <c r="E23" s="69" t="s">
        <v>620</v>
      </c>
      <c r="F23" s="69" t="s">
        <v>621</v>
      </c>
    </row>
    <row r="24" spans="2:6" ht="35.15" customHeight="1" x14ac:dyDescent="0.25">
      <c r="B24" s="68" t="s">
        <v>622</v>
      </c>
      <c r="C24" s="69" t="s">
        <v>623</v>
      </c>
      <c r="D24" s="69" t="s">
        <v>624</v>
      </c>
      <c r="E24" s="69" t="s">
        <v>625</v>
      </c>
      <c r="F24" s="69" t="s">
        <v>626</v>
      </c>
    </row>
    <row r="25" spans="2:6" ht="35.15" customHeight="1" x14ac:dyDescent="0.25">
      <c r="B25" s="68" t="s">
        <v>627</v>
      </c>
      <c r="C25" s="69" t="s">
        <v>47</v>
      </c>
      <c r="D25" s="69" t="s">
        <v>628</v>
      </c>
      <c r="E25" s="69" t="s">
        <v>629</v>
      </c>
      <c r="F25" s="69" t="s">
        <v>630</v>
      </c>
    </row>
    <row r="26" spans="2:6" ht="35.15" customHeight="1" x14ac:dyDescent="0.25">
      <c r="B26" s="69" t="s">
        <v>627</v>
      </c>
      <c r="C26" s="69" t="s">
        <v>631</v>
      </c>
      <c r="D26" s="69" t="s">
        <v>632</v>
      </c>
      <c r="E26" s="69" t="s">
        <v>632</v>
      </c>
      <c r="F26" s="69" t="s">
        <v>633</v>
      </c>
    </row>
    <row r="27" spans="2:6" ht="35.15" customHeight="1" x14ac:dyDescent="0.25">
      <c r="B27" s="69" t="s">
        <v>627</v>
      </c>
      <c r="C27" s="69" t="s">
        <v>634</v>
      </c>
      <c r="D27" s="69" t="s">
        <v>635</v>
      </c>
      <c r="E27" s="69" t="s">
        <v>635</v>
      </c>
      <c r="F27" s="69" t="s">
        <v>635</v>
      </c>
    </row>
  </sheetData>
  <mergeCells count="1">
    <mergeCell ref="D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9C46-7215-4278-A4D3-E717C0AC8AEF}">
  <dimension ref="B3:C51"/>
  <sheetViews>
    <sheetView topLeftCell="A35" workbookViewId="0">
      <selection activeCell="C44" sqref="C44"/>
    </sheetView>
  </sheetViews>
  <sheetFormatPr defaultRowHeight="12.5" x14ac:dyDescent="0.25"/>
  <cols>
    <col min="2" max="2" width="28.81640625" style="11" customWidth="1"/>
    <col min="3" max="3" width="30.453125" style="11" customWidth="1"/>
  </cols>
  <sheetData>
    <row r="3" spans="2:3" ht="13" thickBot="1" x14ac:dyDescent="0.3"/>
    <row r="4" spans="2:3" ht="13" thickBot="1" x14ac:dyDescent="0.3">
      <c r="B4" s="3" t="s">
        <v>0</v>
      </c>
      <c r="C4" s="3" t="s">
        <v>2</v>
      </c>
    </row>
    <row r="5" spans="2:3" ht="13" thickBot="1" x14ac:dyDescent="0.3">
      <c r="B5" s="4" t="s">
        <v>492</v>
      </c>
      <c r="C5" s="4" t="s">
        <v>493</v>
      </c>
    </row>
    <row r="6" spans="2:3" ht="13" thickBot="1" x14ac:dyDescent="0.3">
      <c r="B6" s="4" t="s">
        <v>494</v>
      </c>
      <c r="C6" s="4" t="s">
        <v>495</v>
      </c>
    </row>
    <row r="7" spans="2:3" ht="13" thickBot="1" x14ac:dyDescent="0.3">
      <c r="B7" s="4" t="s">
        <v>496</v>
      </c>
      <c r="C7" s="4" t="s">
        <v>497</v>
      </c>
    </row>
    <row r="8" spans="2:3" ht="13" thickBot="1" x14ac:dyDescent="0.3">
      <c r="B8" s="4" t="s">
        <v>8</v>
      </c>
      <c r="C8" s="4" t="s">
        <v>498</v>
      </c>
    </row>
    <row r="9" spans="2:3" ht="13" thickBot="1" x14ac:dyDescent="0.3">
      <c r="B9" s="4" t="s">
        <v>7</v>
      </c>
      <c r="C9" s="4" t="s">
        <v>499</v>
      </c>
    </row>
    <row r="10" spans="2:3" ht="13" thickBot="1" x14ac:dyDescent="0.3">
      <c r="B10" s="4" t="s">
        <v>3</v>
      </c>
      <c r="C10" s="4" t="s">
        <v>500</v>
      </c>
    </row>
    <row r="11" spans="2:3" ht="13" thickBot="1" x14ac:dyDescent="0.3">
      <c r="B11" s="4" t="s">
        <v>290</v>
      </c>
      <c r="C11" s="4" t="s">
        <v>501</v>
      </c>
    </row>
    <row r="12" spans="2:3" ht="13" thickBot="1" x14ac:dyDescent="0.3">
      <c r="B12" s="4" t="s">
        <v>502</v>
      </c>
      <c r="C12" s="4" t="s">
        <v>503</v>
      </c>
    </row>
    <row r="13" spans="2:3" ht="13" thickBot="1" x14ac:dyDescent="0.3">
      <c r="B13" s="4" t="s">
        <v>4</v>
      </c>
      <c r="C13" s="4" t="s">
        <v>504</v>
      </c>
    </row>
    <row r="14" spans="2:3" ht="13" thickBot="1" x14ac:dyDescent="0.3">
      <c r="B14" s="4" t="s">
        <v>300</v>
      </c>
      <c r="C14" s="4" t="s">
        <v>505</v>
      </c>
    </row>
    <row r="15" spans="2:3" ht="13" thickBot="1" x14ac:dyDescent="0.3">
      <c r="B15" s="4" t="s">
        <v>32</v>
      </c>
      <c r="C15" s="4" t="s">
        <v>506</v>
      </c>
    </row>
    <row r="16" spans="2:3" ht="13" thickBot="1" x14ac:dyDescent="0.3">
      <c r="B16" s="4" t="s">
        <v>292</v>
      </c>
      <c r="C16" s="4" t="s">
        <v>507</v>
      </c>
    </row>
    <row r="17" spans="2:3" ht="13" thickBot="1" x14ac:dyDescent="0.3">
      <c r="B17" s="4" t="s">
        <v>9</v>
      </c>
      <c r="C17" s="4" t="s">
        <v>508</v>
      </c>
    </row>
    <row r="18" spans="2:3" ht="13" thickBot="1" x14ac:dyDescent="0.3">
      <c r="B18" s="4" t="s">
        <v>509</v>
      </c>
      <c r="C18" s="4" t="s">
        <v>58</v>
      </c>
    </row>
    <row r="19" spans="2:3" ht="13" thickBot="1" x14ac:dyDescent="0.3">
      <c r="B19" s="4" t="s">
        <v>510</v>
      </c>
      <c r="C19" s="4" t="s">
        <v>511</v>
      </c>
    </row>
    <row r="20" spans="2:3" ht="13" thickBot="1" x14ac:dyDescent="0.3">
      <c r="B20" s="4" t="s">
        <v>512</v>
      </c>
      <c r="C20" s="4" t="s">
        <v>513</v>
      </c>
    </row>
    <row r="21" spans="2:3" ht="13" thickBot="1" x14ac:dyDescent="0.3">
      <c r="B21" s="4" t="s">
        <v>27</v>
      </c>
      <c r="C21" s="4" t="s">
        <v>514</v>
      </c>
    </row>
    <row r="22" spans="2:3" ht="25.5" thickBot="1" x14ac:dyDescent="0.3">
      <c r="B22" s="4" t="s">
        <v>40</v>
      </c>
      <c r="C22" s="4" t="s">
        <v>515</v>
      </c>
    </row>
    <row r="23" spans="2:3" ht="13" thickBot="1" x14ac:dyDescent="0.3">
      <c r="B23" s="4" t="s">
        <v>516</v>
      </c>
      <c r="C23" s="4" t="s">
        <v>517</v>
      </c>
    </row>
    <row r="24" spans="2:3" ht="13" thickBot="1" x14ac:dyDescent="0.3">
      <c r="B24" s="4" t="s">
        <v>518</v>
      </c>
      <c r="C24" s="4" t="s">
        <v>519</v>
      </c>
    </row>
    <row r="25" spans="2:3" ht="13" thickBot="1" x14ac:dyDescent="0.3">
      <c r="B25" s="4" t="s">
        <v>10</v>
      </c>
      <c r="C25" s="4" t="s">
        <v>520</v>
      </c>
    </row>
    <row r="26" spans="2:3" ht="13" thickBot="1" x14ac:dyDescent="0.3">
      <c r="B26" s="4" t="s">
        <v>266</v>
      </c>
      <c r="C26" s="4" t="s">
        <v>521</v>
      </c>
    </row>
    <row r="27" spans="2:3" ht="25.5" thickBot="1" x14ac:dyDescent="0.3">
      <c r="B27" s="4" t="s">
        <v>41</v>
      </c>
      <c r="C27" s="4" t="s">
        <v>522</v>
      </c>
    </row>
    <row r="28" spans="2:3" ht="25.5" thickBot="1" x14ac:dyDescent="0.3">
      <c r="B28" s="4" t="s">
        <v>523</v>
      </c>
      <c r="C28" s="4" t="s">
        <v>524</v>
      </c>
    </row>
    <row r="29" spans="2:3" ht="13" thickBot="1" x14ac:dyDescent="0.3">
      <c r="B29" s="4" t="s">
        <v>525</v>
      </c>
      <c r="C29" s="4" t="s">
        <v>526</v>
      </c>
    </row>
    <row r="30" spans="2:3" ht="13" thickBot="1" x14ac:dyDescent="0.3">
      <c r="B30" s="4" t="s">
        <v>527</v>
      </c>
      <c r="C30" s="4" t="s">
        <v>21</v>
      </c>
    </row>
    <row r="31" spans="2:3" ht="13" thickBot="1" x14ac:dyDescent="0.3">
      <c r="B31" s="4" t="s">
        <v>528</v>
      </c>
      <c r="C31" s="4" t="s">
        <v>21</v>
      </c>
    </row>
    <row r="32" spans="2:3" ht="13" thickBot="1" x14ac:dyDescent="0.3">
      <c r="B32" s="4" t="s">
        <v>529</v>
      </c>
      <c r="C32" s="4" t="s">
        <v>21</v>
      </c>
    </row>
    <row r="33" spans="2:3" ht="13" thickBot="1" x14ac:dyDescent="0.3">
      <c r="B33" s="4" t="s">
        <v>530</v>
      </c>
      <c r="C33" s="4" t="s">
        <v>21</v>
      </c>
    </row>
    <row r="34" spans="2:3" ht="13" thickBot="1" x14ac:dyDescent="0.3">
      <c r="B34" s="4" t="s">
        <v>531</v>
      </c>
      <c r="C34" s="4" t="s">
        <v>21</v>
      </c>
    </row>
    <row r="35" spans="2:3" ht="13" thickBot="1" x14ac:dyDescent="0.3">
      <c r="B35" s="4" t="s">
        <v>532</v>
      </c>
      <c r="C35" s="4" t="s">
        <v>21</v>
      </c>
    </row>
    <row r="36" spans="2:3" ht="13" thickBot="1" x14ac:dyDescent="0.3">
      <c r="B36" s="4" t="s">
        <v>533</v>
      </c>
      <c r="C36" s="4" t="s">
        <v>21</v>
      </c>
    </row>
    <row r="37" spans="2:3" ht="13" thickBot="1" x14ac:dyDescent="0.3">
      <c r="B37" s="4" t="s">
        <v>534</v>
      </c>
      <c r="C37" s="4" t="s">
        <v>21</v>
      </c>
    </row>
    <row r="38" spans="2:3" ht="13" thickBot="1" x14ac:dyDescent="0.3">
      <c r="B38" s="4" t="s">
        <v>535</v>
      </c>
      <c r="C38" s="4" t="s">
        <v>21</v>
      </c>
    </row>
    <row r="39" spans="2:3" ht="13" thickBot="1" x14ac:dyDescent="0.3">
      <c r="B39" s="4" t="s">
        <v>536</v>
      </c>
      <c r="C39" s="4" t="s">
        <v>21</v>
      </c>
    </row>
    <row r="40" spans="2:3" ht="13" thickBot="1" x14ac:dyDescent="0.3">
      <c r="B40" s="4" t="s">
        <v>537</v>
      </c>
      <c r="C40" s="4" t="s">
        <v>21</v>
      </c>
    </row>
    <row r="41" spans="2:3" ht="13" thickBot="1" x14ac:dyDescent="0.3">
      <c r="B41" s="4" t="s">
        <v>538</v>
      </c>
      <c r="C41" s="4" t="s">
        <v>539</v>
      </c>
    </row>
    <row r="42" spans="2:3" ht="13" thickBot="1" x14ac:dyDescent="0.3">
      <c r="B42" s="4" t="s">
        <v>315</v>
      </c>
      <c r="C42" s="4" t="s">
        <v>540</v>
      </c>
    </row>
    <row r="43" spans="2:3" ht="13" thickBot="1" x14ac:dyDescent="0.3">
      <c r="B43" s="4" t="s">
        <v>541</v>
      </c>
      <c r="C43" s="4" t="s">
        <v>542</v>
      </c>
    </row>
    <row r="44" spans="2:3" ht="13" thickBot="1" x14ac:dyDescent="0.3">
      <c r="B44" s="4" t="s">
        <v>47</v>
      </c>
      <c r="C44" s="4" t="s">
        <v>543</v>
      </c>
    </row>
    <row r="45" spans="2:3" ht="13" thickBot="1" x14ac:dyDescent="0.3">
      <c r="B45" s="4" t="s">
        <v>544</v>
      </c>
      <c r="C45" s="4" t="s">
        <v>545</v>
      </c>
    </row>
    <row r="46" spans="2:3" ht="13" thickBot="1" x14ac:dyDescent="0.3">
      <c r="B46" s="4" t="s">
        <v>546</v>
      </c>
      <c r="C46" s="4" t="s">
        <v>545</v>
      </c>
    </row>
    <row r="47" spans="2:3" ht="13" thickBot="1" x14ac:dyDescent="0.3">
      <c r="B47" s="4" t="s">
        <v>547</v>
      </c>
      <c r="C47" s="4" t="s">
        <v>548</v>
      </c>
    </row>
    <row r="48" spans="2:3" ht="13" thickBot="1" x14ac:dyDescent="0.3">
      <c r="B48" s="4" t="s">
        <v>549</v>
      </c>
      <c r="C48" s="4" t="s">
        <v>550</v>
      </c>
    </row>
    <row r="49" spans="2:3" ht="13" thickBot="1" x14ac:dyDescent="0.3">
      <c r="B49" s="4" t="s">
        <v>208</v>
      </c>
      <c r="C49" s="4" t="s">
        <v>551</v>
      </c>
    </row>
    <row r="50" spans="2:3" ht="38" thickBot="1" x14ac:dyDescent="0.3">
      <c r="B50" s="4" t="s">
        <v>552</v>
      </c>
      <c r="C50" s="4" t="s">
        <v>553</v>
      </c>
    </row>
    <row r="51" spans="2:3" ht="13" thickBot="1" x14ac:dyDescent="0.3">
      <c r="B51" s="4" t="s">
        <v>554</v>
      </c>
      <c r="C51" s="4" t="s">
        <v>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1DDC-7172-4C75-805A-D46963EF1524}">
  <dimension ref="B4:D41"/>
  <sheetViews>
    <sheetView workbookViewId="0">
      <selection activeCell="F52" sqref="F52"/>
    </sheetView>
  </sheetViews>
  <sheetFormatPr defaultRowHeight="12.5" x14ac:dyDescent="0.25"/>
  <cols>
    <col min="2" max="2" width="17.7265625" customWidth="1"/>
    <col min="3" max="3" width="23" customWidth="1"/>
    <col min="4" max="4" width="29.453125" customWidth="1"/>
  </cols>
  <sheetData>
    <row r="4" spans="2:4" ht="13" thickBot="1" x14ac:dyDescent="0.3"/>
    <row r="5" spans="2:4" ht="13" thickBot="1" x14ac:dyDescent="0.3">
      <c r="B5" s="53"/>
      <c r="C5" s="54" t="s">
        <v>376</v>
      </c>
      <c r="D5" s="55" t="s">
        <v>437</v>
      </c>
    </row>
    <row r="6" spans="2:4" ht="25.5" thickBot="1" x14ac:dyDescent="0.3">
      <c r="B6" s="56"/>
      <c r="C6" s="57" t="s">
        <v>438</v>
      </c>
      <c r="D6" s="58" t="s">
        <v>439</v>
      </c>
    </row>
    <row r="7" spans="2:4" ht="25.5" thickBot="1" x14ac:dyDescent="0.3">
      <c r="B7" s="56"/>
      <c r="C7" s="59" t="s">
        <v>440</v>
      </c>
      <c r="D7" s="60" t="s">
        <v>441</v>
      </c>
    </row>
    <row r="8" spans="2:4" ht="13" thickBot="1" x14ac:dyDescent="0.3">
      <c r="B8" s="56"/>
      <c r="C8" s="57" t="s">
        <v>330</v>
      </c>
      <c r="D8" s="58" t="s">
        <v>442</v>
      </c>
    </row>
    <row r="9" spans="2:4" ht="13" thickBot="1" x14ac:dyDescent="0.3">
      <c r="B9" s="56"/>
      <c r="C9" s="59" t="s">
        <v>332</v>
      </c>
      <c r="D9" s="60" t="s">
        <v>443</v>
      </c>
    </row>
    <row r="10" spans="2:4" ht="25.5" thickBot="1" x14ac:dyDescent="0.3">
      <c r="B10" s="56"/>
      <c r="C10" s="57" t="s">
        <v>134</v>
      </c>
      <c r="D10" s="58" t="s">
        <v>444</v>
      </c>
    </row>
    <row r="11" spans="2:4" ht="13" thickBot="1" x14ac:dyDescent="0.3">
      <c r="B11" s="56"/>
      <c r="C11" s="59" t="s">
        <v>336</v>
      </c>
      <c r="D11" s="60" t="s">
        <v>445</v>
      </c>
    </row>
    <row r="12" spans="2:4" ht="13" thickBot="1" x14ac:dyDescent="0.3">
      <c r="B12" s="56"/>
      <c r="C12" s="57" t="s">
        <v>338</v>
      </c>
      <c r="D12" s="58" t="s">
        <v>446</v>
      </c>
    </row>
    <row r="13" spans="2:4" ht="13" thickBot="1" x14ac:dyDescent="0.3">
      <c r="B13" s="56"/>
      <c r="C13" s="59" t="s">
        <v>340</v>
      </c>
      <c r="D13" s="60" t="s">
        <v>447</v>
      </c>
    </row>
    <row r="14" spans="2:4" ht="13" thickBot="1" x14ac:dyDescent="0.3">
      <c r="B14" s="56"/>
      <c r="C14" s="57" t="s">
        <v>342</v>
      </c>
      <c r="D14" s="58" t="s">
        <v>448</v>
      </c>
    </row>
    <row r="15" spans="2:4" ht="25.5" thickBot="1" x14ac:dyDescent="0.3">
      <c r="B15" s="56"/>
      <c r="C15" s="59" t="s">
        <v>344</v>
      </c>
      <c r="D15" s="60" t="s">
        <v>345</v>
      </c>
    </row>
    <row r="16" spans="2:4" ht="13" thickBot="1" x14ac:dyDescent="0.3">
      <c r="B16" s="56"/>
      <c r="C16" s="57" t="s">
        <v>346</v>
      </c>
      <c r="D16" s="58" t="s">
        <v>449</v>
      </c>
    </row>
    <row r="17" spans="2:4" ht="13" thickBot="1" x14ac:dyDescent="0.3">
      <c r="B17" s="56"/>
      <c r="C17" s="59" t="s">
        <v>348</v>
      </c>
      <c r="D17" s="60" t="s">
        <v>413</v>
      </c>
    </row>
    <row r="18" spans="2:4" ht="13" thickBot="1" x14ac:dyDescent="0.3">
      <c r="B18" s="56"/>
      <c r="C18" s="57" t="s">
        <v>450</v>
      </c>
      <c r="D18" s="58" t="s">
        <v>451</v>
      </c>
    </row>
    <row r="19" spans="2:4" ht="25.5" thickBot="1" x14ac:dyDescent="0.3">
      <c r="B19" s="56"/>
      <c r="C19" s="59" t="s">
        <v>452</v>
      </c>
      <c r="D19" s="60" t="s">
        <v>453</v>
      </c>
    </row>
    <row r="20" spans="2:4" ht="13" thickBot="1" x14ac:dyDescent="0.3">
      <c r="B20" s="56"/>
      <c r="C20" s="57" t="s">
        <v>354</v>
      </c>
      <c r="D20" s="58" t="s">
        <v>454</v>
      </c>
    </row>
    <row r="21" spans="2:4" ht="13" thickBot="1" x14ac:dyDescent="0.3">
      <c r="B21" s="56"/>
      <c r="C21" s="59" t="s">
        <v>356</v>
      </c>
      <c r="D21" s="60" t="s">
        <v>455</v>
      </c>
    </row>
    <row r="22" spans="2:4" ht="13" thickBot="1" x14ac:dyDescent="0.3">
      <c r="B22" s="56"/>
      <c r="C22" s="57" t="s">
        <v>358</v>
      </c>
      <c r="D22" s="58" t="s">
        <v>394</v>
      </c>
    </row>
    <row r="23" spans="2:4" ht="25.5" thickBot="1" x14ac:dyDescent="0.3">
      <c r="B23" s="56"/>
      <c r="C23" s="59" t="s">
        <v>362</v>
      </c>
      <c r="D23" s="60" t="s">
        <v>456</v>
      </c>
    </row>
    <row r="24" spans="2:4" ht="13" thickBot="1" x14ac:dyDescent="0.3">
      <c r="B24" s="56"/>
      <c r="C24" s="57" t="s">
        <v>457</v>
      </c>
      <c r="D24" s="58" t="s">
        <v>458</v>
      </c>
    </row>
    <row r="25" spans="2:4" ht="13" thickBot="1" x14ac:dyDescent="0.3">
      <c r="B25" s="56"/>
      <c r="C25" s="59" t="s">
        <v>366</v>
      </c>
      <c r="D25" s="60" t="s">
        <v>459</v>
      </c>
    </row>
    <row r="26" spans="2:4" ht="13" thickBot="1" x14ac:dyDescent="0.3">
      <c r="B26" s="61" t="s">
        <v>25</v>
      </c>
      <c r="C26" s="57" t="s">
        <v>372</v>
      </c>
      <c r="D26" s="58" t="s">
        <v>369</v>
      </c>
    </row>
    <row r="27" spans="2:4" ht="13" thickBot="1" x14ac:dyDescent="0.3">
      <c r="B27" s="52"/>
      <c r="C27" s="59" t="s">
        <v>374</v>
      </c>
      <c r="D27" s="60" t="s">
        <v>460</v>
      </c>
    </row>
    <row r="28" spans="2:4" ht="13" thickBot="1" x14ac:dyDescent="0.3">
      <c r="B28" s="52"/>
      <c r="C28" s="57" t="s">
        <v>376</v>
      </c>
      <c r="D28" s="58" t="s">
        <v>437</v>
      </c>
    </row>
    <row r="29" spans="2:4" ht="25.5" thickBot="1" x14ac:dyDescent="0.3">
      <c r="B29" s="53"/>
      <c r="C29" s="59" t="s">
        <v>379</v>
      </c>
      <c r="D29" s="60" t="s">
        <v>461</v>
      </c>
    </row>
    <row r="30" spans="2:4" ht="13" thickBot="1" x14ac:dyDescent="0.3">
      <c r="B30" s="56"/>
      <c r="C30" s="57" t="s">
        <v>381</v>
      </c>
      <c r="D30" s="58" t="s">
        <v>462</v>
      </c>
    </row>
    <row r="31" spans="2:4" ht="13" thickBot="1" x14ac:dyDescent="0.3">
      <c r="B31" s="56"/>
      <c r="C31" s="59" t="s">
        <v>383</v>
      </c>
      <c r="D31" s="60" t="s">
        <v>463</v>
      </c>
    </row>
    <row r="32" spans="2:4" ht="25.5" thickBot="1" x14ac:dyDescent="0.3">
      <c r="B32" s="56"/>
      <c r="C32" s="57" t="s">
        <v>385</v>
      </c>
      <c r="D32" s="58" t="s">
        <v>464</v>
      </c>
    </row>
    <row r="33" spans="2:4" ht="25.5" thickBot="1" x14ac:dyDescent="0.3">
      <c r="B33" s="56"/>
      <c r="C33" s="59" t="s">
        <v>387</v>
      </c>
      <c r="D33" s="60" t="s">
        <v>465</v>
      </c>
    </row>
    <row r="34" spans="2:4" ht="13" thickBot="1" x14ac:dyDescent="0.3">
      <c r="B34" s="56"/>
      <c r="C34" s="57" t="s">
        <v>428</v>
      </c>
      <c r="D34" s="58" t="s">
        <v>466</v>
      </c>
    </row>
    <row r="35" spans="2:4" ht="13" thickBot="1" x14ac:dyDescent="0.3">
      <c r="B35" s="56"/>
      <c r="C35" s="59" t="s">
        <v>391</v>
      </c>
      <c r="D35" s="60" t="s">
        <v>430</v>
      </c>
    </row>
    <row r="36" spans="2:4" ht="13" thickBot="1" x14ac:dyDescent="0.3">
      <c r="B36" s="61" t="s">
        <v>378</v>
      </c>
      <c r="C36" s="57" t="s">
        <v>393</v>
      </c>
      <c r="D36" s="58" t="s">
        <v>361</v>
      </c>
    </row>
    <row r="37" spans="2:4" ht="13" thickBot="1" x14ac:dyDescent="0.3">
      <c r="B37" s="53"/>
      <c r="C37" s="59" t="s">
        <v>396</v>
      </c>
      <c r="D37" s="60" t="s">
        <v>467</v>
      </c>
    </row>
    <row r="38" spans="2:4" ht="13" thickBot="1" x14ac:dyDescent="0.3">
      <c r="B38" s="56"/>
      <c r="C38" s="57" t="s">
        <v>468</v>
      </c>
      <c r="D38" s="58" t="s">
        <v>469</v>
      </c>
    </row>
    <row r="39" spans="2:4" ht="25.5" thickBot="1" x14ac:dyDescent="0.3">
      <c r="B39" s="61" t="s">
        <v>395</v>
      </c>
      <c r="C39" s="59" t="s">
        <v>470</v>
      </c>
      <c r="D39" s="60" t="s">
        <v>403</v>
      </c>
    </row>
    <row r="40" spans="2:4" ht="13" thickBot="1" x14ac:dyDescent="0.3">
      <c r="B40" s="52"/>
      <c r="C40" s="57" t="s">
        <v>435</v>
      </c>
      <c r="D40" s="58" t="s">
        <v>436</v>
      </c>
    </row>
    <row r="41" spans="2:4" ht="13" thickBot="1" x14ac:dyDescent="0.3">
      <c r="B41" s="62" t="s">
        <v>471</v>
      </c>
      <c r="C41" s="63" t="s">
        <v>472</v>
      </c>
      <c r="D41" s="64" t="s">
        <v>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D727-4050-4D0A-8A13-C4A5E46CE729}">
  <sheetPr>
    <tabColor theme="4"/>
  </sheetPr>
  <dimension ref="B5:D42"/>
  <sheetViews>
    <sheetView topLeftCell="A10" workbookViewId="0">
      <selection activeCell="G22" sqref="G22"/>
    </sheetView>
  </sheetViews>
  <sheetFormatPr defaultRowHeight="12.5" x14ac:dyDescent="0.25"/>
  <cols>
    <col min="2" max="2" width="27.1796875" customWidth="1"/>
    <col min="3" max="3" width="32.54296875" customWidth="1"/>
    <col min="4" max="4" width="30.26953125" customWidth="1"/>
  </cols>
  <sheetData>
    <row r="5" spans="2:4" s="11" customFormat="1" x14ac:dyDescent="0.25">
      <c r="B5" s="72" t="s">
        <v>25</v>
      </c>
      <c r="C5" s="28"/>
      <c r="D5" s="75" t="s">
        <v>329</v>
      </c>
    </row>
    <row r="6" spans="2:4" s="11" customFormat="1" x14ac:dyDescent="0.25">
      <c r="B6" s="73"/>
      <c r="C6" s="29" t="s">
        <v>328</v>
      </c>
      <c r="D6" s="76"/>
    </row>
    <row r="7" spans="2:4" s="11" customFormat="1" x14ac:dyDescent="0.25">
      <c r="B7" s="73"/>
      <c r="C7" s="30" t="s">
        <v>330</v>
      </c>
      <c r="D7" s="31" t="s">
        <v>331</v>
      </c>
    </row>
    <row r="8" spans="2:4" s="11" customFormat="1" x14ac:dyDescent="0.25">
      <c r="B8" s="73"/>
      <c r="C8" s="32" t="s">
        <v>332</v>
      </c>
      <c r="D8" s="33" t="s">
        <v>333</v>
      </c>
    </row>
    <row r="9" spans="2:4" s="11" customFormat="1" x14ac:dyDescent="0.25">
      <c r="B9" s="73"/>
      <c r="C9" s="30" t="s">
        <v>334</v>
      </c>
      <c r="D9" s="31" t="s">
        <v>335</v>
      </c>
    </row>
    <row r="10" spans="2:4" s="11" customFormat="1" x14ac:dyDescent="0.25">
      <c r="B10" s="73"/>
      <c r="C10" s="32" t="s">
        <v>336</v>
      </c>
      <c r="D10" s="33" t="s">
        <v>337</v>
      </c>
    </row>
    <row r="11" spans="2:4" s="11" customFormat="1" x14ac:dyDescent="0.25">
      <c r="B11" s="73"/>
      <c r="C11" s="30" t="s">
        <v>338</v>
      </c>
      <c r="D11" s="31" t="s">
        <v>339</v>
      </c>
    </row>
    <row r="12" spans="2:4" s="11" customFormat="1" x14ac:dyDescent="0.25">
      <c r="B12" s="73"/>
      <c r="C12" s="34" t="s">
        <v>340</v>
      </c>
      <c r="D12" s="35" t="s">
        <v>341</v>
      </c>
    </row>
    <row r="13" spans="2:4" s="11" customFormat="1" ht="25" x14ac:dyDescent="0.25">
      <c r="B13" s="73"/>
      <c r="C13" s="30" t="s">
        <v>342</v>
      </c>
      <c r="D13" s="31" t="s">
        <v>343</v>
      </c>
    </row>
    <row r="14" spans="2:4" s="11" customFormat="1" x14ac:dyDescent="0.25">
      <c r="B14" s="73"/>
      <c r="C14" s="34" t="s">
        <v>344</v>
      </c>
      <c r="D14" s="35" t="s">
        <v>345</v>
      </c>
    </row>
    <row r="15" spans="2:4" s="11" customFormat="1" x14ac:dyDescent="0.25">
      <c r="B15" s="73"/>
      <c r="C15" s="30" t="s">
        <v>346</v>
      </c>
      <c r="D15" s="31" t="s">
        <v>347</v>
      </c>
    </row>
    <row r="16" spans="2:4" s="11" customFormat="1" x14ac:dyDescent="0.25">
      <c r="B16" s="73"/>
      <c r="C16" s="34" t="s">
        <v>348</v>
      </c>
      <c r="D16" s="35" t="s">
        <v>349</v>
      </c>
    </row>
    <row r="17" spans="2:4" s="11" customFormat="1" x14ac:dyDescent="0.25">
      <c r="B17" s="73"/>
      <c r="C17" s="30" t="s">
        <v>350</v>
      </c>
      <c r="D17" s="31" t="s">
        <v>351</v>
      </c>
    </row>
    <row r="18" spans="2:4" s="11" customFormat="1" ht="25" x14ac:dyDescent="0.25">
      <c r="B18" s="73"/>
      <c r="C18" s="34" t="s">
        <v>352</v>
      </c>
      <c r="D18" s="35" t="s">
        <v>353</v>
      </c>
    </row>
    <row r="19" spans="2:4" s="11" customFormat="1" x14ac:dyDescent="0.25">
      <c r="B19" s="73"/>
      <c r="C19" s="30" t="s">
        <v>354</v>
      </c>
      <c r="D19" s="31" t="s">
        <v>355</v>
      </c>
    </row>
    <row r="20" spans="2:4" s="11" customFormat="1" x14ac:dyDescent="0.25">
      <c r="B20" s="73"/>
      <c r="C20" s="34" t="s">
        <v>356</v>
      </c>
      <c r="D20" s="35" t="s">
        <v>357</v>
      </c>
    </row>
    <row r="21" spans="2:4" s="11" customFormat="1" x14ac:dyDescent="0.25">
      <c r="B21" s="73"/>
      <c r="C21" s="30" t="s">
        <v>358</v>
      </c>
      <c r="D21" s="31" t="s">
        <v>359</v>
      </c>
    </row>
    <row r="22" spans="2:4" s="11" customFormat="1" x14ac:dyDescent="0.25">
      <c r="B22" s="73"/>
      <c r="C22" s="34" t="s">
        <v>360</v>
      </c>
      <c r="D22" s="35" t="s">
        <v>361</v>
      </c>
    </row>
    <row r="23" spans="2:4" s="11" customFormat="1" x14ac:dyDescent="0.25">
      <c r="B23" s="73"/>
      <c r="C23" s="30" t="s">
        <v>362</v>
      </c>
      <c r="D23" s="31" t="s">
        <v>363</v>
      </c>
    </row>
    <row r="24" spans="2:4" s="11" customFormat="1" x14ac:dyDescent="0.25">
      <c r="B24" s="73"/>
      <c r="C24" s="34" t="s">
        <v>364</v>
      </c>
      <c r="D24" s="35" t="s">
        <v>365</v>
      </c>
    </row>
    <row r="25" spans="2:4" s="11" customFormat="1" x14ac:dyDescent="0.25">
      <c r="B25" s="73"/>
      <c r="C25" s="30" t="s">
        <v>366</v>
      </c>
      <c r="D25" s="31" t="s">
        <v>367</v>
      </c>
    </row>
    <row r="26" spans="2:4" s="11" customFormat="1" x14ac:dyDescent="0.25">
      <c r="B26" s="73"/>
      <c r="C26" s="34" t="s">
        <v>368</v>
      </c>
      <c r="D26" s="35" t="s">
        <v>369</v>
      </c>
    </row>
    <row r="27" spans="2:4" s="11" customFormat="1" x14ac:dyDescent="0.25">
      <c r="B27" s="73"/>
      <c r="C27" s="30" t="s">
        <v>370</v>
      </c>
      <c r="D27" s="31" t="s">
        <v>371</v>
      </c>
    </row>
    <row r="28" spans="2:4" s="11" customFormat="1" x14ac:dyDescent="0.25">
      <c r="B28" s="73"/>
      <c r="C28" s="34" t="s">
        <v>372</v>
      </c>
      <c r="D28" s="35" t="s">
        <v>373</v>
      </c>
    </row>
    <row r="29" spans="2:4" s="11" customFormat="1" x14ac:dyDescent="0.25">
      <c r="B29" s="73"/>
      <c r="C29" s="30" t="s">
        <v>374</v>
      </c>
      <c r="D29" s="31" t="s">
        <v>375</v>
      </c>
    </row>
    <row r="30" spans="2:4" s="11" customFormat="1" x14ac:dyDescent="0.25">
      <c r="B30" s="74"/>
      <c r="C30" s="34" t="s">
        <v>376</v>
      </c>
      <c r="D30" s="35" t="s">
        <v>377</v>
      </c>
    </row>
    <row r="31" spans="2:4" s="11" customFormat="1" x14ac:dyDescent="0.25">
      <c r="B31" s="36"/>
      <c r="C31" s="37" t="s">
        <v>379</v>
      </c>
      <c r="D31" s="31" t="s">
        <v>380</v>
      </c>
    </row>
    <row r="32" spans="2:4" s="11" customFormat="1" x14ac:dyDescent="0.25">
      <c r="B32" s="38"/>
      <c r="C32" s="39" t="s">
        <v>381</v>
      </c>
      <c r="D32" s="35" t="s">
        <v>382</v>
      </c>
    </row>
    <row r="33" spans="2:4" s="11" customFormat="1" x14ac:dyDescent="0.25">
      <c r="B33" s="38"/>
      <c r="C33" s="37" t="s">
        <v>383</v>
      </c>
      <c r="D33" s="31" t="s">
        <v>384</v>
      </c>
    </row>
    <row r="34" spans="2:4" s="11" customFormat="1" x14ac:dyDescent="0.25">
      <c r="B34" s="38"/>
      <c r="C34" s="39" t="s">
        <v>385</v>
      </c>
      <c r="D34" s="35" t="s">
        <v>386</v>
      </c>
    </row>
    <row r="35" spans="2:4" s="11" customFormat="1" x14ac:dyDescent="0.25">
      <c r="B35" s="38"/>
      <c r="C35" s="37" t="s">
        <v>387</v>
      </c>
      <c r="D35" s="31" t="s">
        <v>388</v>
      </c>
    </row>
    <row r="36" spans="2:4" s="11" customFormat="1" x14ac:dyDescent="0.25">
      <c r="B36" s="38"/>
      <c r="C36" s="39" t="s">
        <v>389</v>
      </c>
      <c r="D36" s="35" t="s">
        <v>390</v>
      </c>
    </row>
    <row r="37" spans="2:4" s="11" customFormat="1" x14ac:dyDescent="0.25">
      <c r="B37" s="40" t="s">
        <v>378</v>
      </c>
      <c r="C37" s="37" t="s">
        <v>391</v>
      </c>
      <c r="D37" s="31" t="s">
        <v>392</v>
      </c>
    </row>
    <row r="38" spans="2:4" s="11" customFormat="1" x14ac:dyDescent="0.25">
      <c r="B38" s="27"/>
      <c r="C38" s="39" t="s">
        <v>393</v>
      </c>
      <c r="D38" s="35" t="s">
        <v>394</v>
      </c>
    </row>
    <row r="39" spans="2:4" s="11" customFormat="1" x14ac:dyDescent="0.25">
      <c r="B39" s="36"/>
      <c r="C39" s="37" t="s">
        <v>396</v>
      </c>
      <c r="D39" s="31" t="s">
        <v>397</v>
      </c>
    </row>
    <row r="40" spans="2:4" s="11" customFormat="1" x14ac:dyDescent="0.25">
      <c r="B40" s="38"/>
      <c r="C40" s="39" t="s">
        <v>398</v>
      </c>
      <c r="D40" s="35" t="s">
        <v>399</v>
      </c>
    </row>
    <row r="41" spans="2:4" s="11" customFormat="1" x14ac:dyDescent="0.25">
      <c r="B41" s="38"/>
      <c r="C41" s="37" t="s">
        <v>400</v>
      </c>
      <c r="D41" s="31" t="s">
        <v>401</v>
      </c>
    </row>
    <row r="42" spans="2:4" s="11" customFormat="1" ht="25" x14ac:dyDescent="0.25">
      <c r="B42" s="41" t="s">
        <v>395</v>
      </c>
      <c r="C42" s="42" t="s">
        <v>402</v>
      </c>
      <c r="D42" s="43" t="s">
        <v>403</v>
      </c>
    </row>
  </sheetData>
  <mergeCells count="2">
    <mergeCell ref="B5:B30"/>
    <mergeCell ref="D5:D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9731-4A3C-4B6A-ACDA-F071560C2B08}">
  <sheetPr>
    <tabColor theme="4"/>
  </sheetPr>
  <dimension ref="B4:D40"/>
  <sheetViews>
    <sheetView topLeftCell="A32" workbookViewId="0">
      <selection activeCell="I43" sqref="I43"/>
    </sheetView>
  </sheetViews>
  <sheetFormatPr defaultRowHeight="12.5" x14ac:dyDescent="0.25"/>
  <cols>
    <col min="2" max="2" width="9" bestFit="1" customWidth="1"/>
    <col min="3" max="3" width="22.54296875" customWidth="1"/>
    <col min="4" max="4" width="24.26953125" bestFit="1" customWidth="1"/>
  </cols>
  <sheetData>
    <row r="4" spans="2:4" ht="25" x14ac:dyDescent="0.25">
      <c r="B4" s="72" t="s">
        <v>25</v>
      </c>
      <c r="C4" s="44" t="s">
        <v>330</v>
      </c>
      <c r="D4" s="46" t="s">
        <v>404</v>
      </c>
    </row>
    <row r="5" spans="2:4" ht="25" x14ac:dyDescent="0.25">
      <c r="B5" s="73"/>
      <c r="C5" s="32" t="s">
        <v>405</v>
      </c>
      <c r="D5" s="47" t="s">
        <v>406</v>
      </c>
    </row>
    <row r="6" spans="2:4" x14ac:dyDescent="0.25">
      <c r="B6" s="73"/>
      <c r="C6" s="30" t="s">
        <v>334</v>
      </c>
      <c r="D6" s="48" t="s">
        <v>407</v>
      </c>
    </row>
    <row r="7" spans="2:4" x14ac:dyDescent="0.25">
      <c r="B7" s="73"/>
      <c r="C7" s="32" t="s">
        <v>336</v>
      </c>
      <c r="D7" s="47" t="s">
        <v>408</v>
      </c>
    </row>
    <row r="8" spans="2:4" x14ac:dyDescent="0.25">
      <c r="B8" s="73"/>
      <c r="C8" s="30" t="s">
        <v>338</v>
      </c>
      <c r="D8" s="48" t="s">
        <v>409</v>
      </c>
    </row>
    <row r="9" spans="2:4" x14ac:dyDescent="0.25">
      <c r="B9" s="73"/>
      <c r="C9" s="34" t="s">
        <v>340</v>
      </c>
      <c r="D9" s="49" t="s">
        <v>410</v>
      </c>
    </row>
    <row r="10" spans="2:4" x14ac:dyDescent="0.25">
      <c r="B10" s="73"/>
      <c r="C10" s="30" t="s">
        <v>342</v>
      </c>
      <c r="D10" s="48" t="s">
        <v>411</v>
      </c>
    </row>
    <row r="11" spans="2:4" ht="25" x14ac:dyDescent="0.25">
      <c r="B11" s="73"/>
      <c r="C11" s="34" t="s">
        <v>344</v>
      </c>
      <c r="D11" s="49" t="s">
        <v>412</v>
      </c>
    </row>
    <row r="12" spans="2:4" x14ac:dyDescent="0.25">
      <c r="B12" s="73"/>
      <c r="C12" s="30" t="s">
        <v>346</v>
      </c>
      <c r="D12" s="48" t="s">
        <v>347</v>
      </c>
    </row>
    <row r="13" spans="2:4" x14ac:dyDescent="0.25">
      <c r="B13" s="73"/>
      <c r="C13" s="34" t="s">
        <v>348</v>
      </c>
      <c r="D13" s="49" t="s">
        <v>413</v>
      </c>
    </row>
    <row r="14" spans="2:4" x14ac:dyDescent="0.25">
      <c r="B14" s="73"/>
      <c r="C14" s="30" t="s">
        <v>350</v>
      </c>
      <c r="D14" s="48" t="s">
        <v>414</v>
      </c>
    </row>
    <row r="15" spans="2:4" ht="25" x14ac:dyDescent="0.25">
      <c r="B15" s="73"/>
      <c r="C15" s="34" t="s">
        <v>352</v>
      </c>
      <c r="D15" s="49" t="s">
        <v>415</v>
      </c>
    </row>
    <row r="16" spans="2:4" x14ac:dyDescent="0.25">
      <c r="B16" s="73"/>
      <c r="C16" s="30" t="s">
        <v>354</v>
      </c>
      <c r="D16" s="48" t="s">
        <v>355</v>
      </c>
    </row>
    <row r="17" spans="2:4" x14ac:dyDescent="0.25">
      <c r="B17" s="73"/>
      <c r="C17" s="34" t="s">
        <v>356</v>
      </c>
      <c r="D17" s="49" t="s">
        <v>357</v>
      </c>
    </row>
    <row r="18" spans="2:4" x14ac:dyDescent="0.25">
      <c r="B18" s="73"/>
      <c r="C18" s="30" t="s">
        <v>358</v>
      </c>
      <c r="D18" s="48" t="s">
        <v>359</v>
      </c>
    </row>
    <row r="19" spans="2:4" x14ac:dyDescent="0.25">
      <c r="B19" s="73"/>
      <c r="C19" s="34" t="s">
        <v>360</v>
      </c>
      <c r="D19" s="49" t="s">
        <v>361</v>
      </c>
    </row>
    <row r="20" spans="2:4" ht="25" x14ac:dyDescent="0.25">
      <c r="B20" s="73"/>
      <c r="C20" s="30" t="s">
        <v>362</v>
      </c>
      <c r="D20" s="48" t="s">
        <v>416</v>
      </c>
    </row>
    <row r="21" spans="2:4" x14ac:dyDescent="0.25">
      <c r="B21" s="73"/>
      <c r="C21" s="34" t="s">
        <v>364</v>
      </c>
      <c r="D21" s="49" t="s">
        <v>417</v>
      </c>
    </row>
    <row r="22" spans="2:4" x14ac:dyDescent="0.25">
      <c r="B22" s="73"/>
      <c r="C22" s="30" t="s">
        <v>366</v>
      </c>
      <c r="D22" s="48" t="s">
        <v>418</v>
      </c>
    </row>
    <row r="23" spans="2:4" x14ac:dyDescent="0.25">
      <c r="B23" s="73"/>
      <c r="C23" s="34" t="s">
        <v>368</v>
      </c>
      <c r="D23" s="49" t="s">
        <v>369</v>
      </c>
    </row>
    <row r="24" spans="2:4" ht="25" x14ac:dyDescent="0.25">
      <c r="B24" s="73"/>
      <c r="C24" s="30" t="s">
        <v>370</v>
      </c>
      <c r="D24" s="48" t="s">
        <v>419</v>
      </c>
    </row>
    <row r="25" spans="2:4" x14ac:dyDescent="0.25">
      <c r="B25" s="73"/>
      <c r="C25" s="34" t="s">
        <v>372</v>
      </c>
      <c r="D25" s="49" t="s">
        <v>420</v>
      </c>
    </row>
    <row r="26" spans="2:4" ht="25" x14ac:dyDescent="0.25">
      <c r="B26" s="73"/>
      <c r="C26" s="30" t="s">
        <v>374</v>
      </c>
      <c r="D26" s="48" t="s">
        <v>421</v>
      </c>
    </row>
    <row r="27" spans="2:4" x14ac:dyDescent="0.25">
      <c r="B27" s="74"/>
      <c r="C27" s="34" t="s">
        <v>376</v>
      </c>
      <c r="D27" s="49" t="s">
        <v>422</v>
      </c>
    </row>
    <row r="28" spans="2:4" ht="25" x14ac:dyDescent="0.25">
      <c r="B28" s="36"/>
      <c r="C28" s="30" t="s">
        <v>379</v>
      </c>
      <c r="D28" s="48" t="s">
        <v>423</v>
      </c>
    </row>
    <row r="29" spans="2:4" x14ac:dyDescent="0.25">
      <c r="B29" s="38"/>
      <c r="C29" s="34" t="s">
        <v>381</v>
      </c>
      <c r="D29" s="49" t="s">
        <v>424</v>
      </c>
    </row>
    <row r="30" spans="2:4" x14ac:dyDescent="0.25">
      <c r="B30" s="38"/>
      <c r="C30" s="30" t="s">
        <v>383</v>
      </c>
      <c r="D30" s="48" t="s">
        <v>425</v>
      </c>
    </row>
    <row r="31" spans="2:4" ht="25" x14ac:dyDescent="0.25">
      <c r="B31" s="38"/>
      <c r="C31" s="34" t="s">
        <v>385</v>
      </c>
      <c r="D31" s="49" t="s">
        <v>426</v>
      </c>
    </row>
    <row r="32" spans="2:4" ht="25" x14ac:dyDescent="0.25">
      <c r="B32" s="38"/>
      <c r="C32" s="30" t="s">
        <v>387</v>
      </c>
      <c r="D32" s="48" t="s">
        <v>427</v>
      </c>
    </row>
    <row r="33" spans="2:4" x14ac:dyDescent="0.25">
      <c r="B33" s="38"/>
      <c r="C33" s="34" t="s">
        <v>428</v>
      </c>
      <c r="D33" s="49" t="s">
        <v>429</v>
      </c>
    </row>
    <row r="34" spans="2:4" x14ac:dyDescent="0.25">
      <c r="B34" s="38"/>
      <c r="C34" s="30" t="s">
        <v>391</v>
      </c>
      <c r="D34" s="48" t="s">
        <v>430</v>
      </c>
    </row>
    <row r="35" spans="2:4" x14ac:dyDescent="0.25">
      <c r="B35" s="45" t="s">
        <v>378</v>
      </c>
      <c r="C35" s="34" t="s">
        <v>393</v>
      </c>
      <c r="D35" s="49" t="s">
        <v>361</v>
      </c>
    </row>
    <row r="36" spans="2:4" x14ac:dyDescent="0.25">
      <c r="B36" s="36"/>
      <c r="C36" s="30" t="s">
        <v>431</v>
      </c>
      <c r="D36" s="48" t="s">
        <v>432</v>
      </c>
    </row>
    <row r="37" spans="2:4" x14ac:dyDescent="0.25">
      <c r="B37" s="38"/>
      <c r="C37" s="34" t="s">
        <v>396</v>
      </c>
      <c r="D37" s="49" t="s">
        <v>433</v>
      </c>
    </row>
    <row r="38" spans="2:4" x14ac:dyDescent="0.25">
      <c r="B38" s="38"/>
      <c r="C38" s="30" t="s">
        <v>400</v>
      </c>
      <c r="D38" s="48" t="s">
        <v>434</v>
      </c>
    </row>
    <row r="39" spans="2:4" x14ac:dyDescent="0.25">
      <c r="B39" s="38"/>
      <c r="C39" s="34" t="s">
        <v>435</v>
      </c>
      <c r="D39" s="49" t="s">
        <v>436</v>
      </c>
    </row>
    <row r="40" spans="2:4" ht="25" x14ac:dyDescent="0.25">
      <c r="B40" s="41" t="s">
        <v>395</v>
      </c>
      <c r="C40" s="50" t="s">
        <v>402</v>
      </c>
      <c r="D40" s="51" t="s">
        <v>403</v>
      </c>
    </row>
  </sheetData>
  <mergeCells count="1">
    <mergeCell ref="B4:B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6FB4-5D60-4F6A-B45E-F9E460745840}">
  <dimension ref="B2:D18"/>
  <sheetViews>
    <sheetView workbookViewId="0">
      <selection activeCell="D15" sqref="D15"/>
    </sheetView>
  </sheetViews>
  <sheetFormatPr defaultRowHeight="12.5" x14ac:dyDescent="0.25"/>
  <cols>
    <col min="3" max="3" width="18.26953125" customWidth="1"/>
    <col min="4" max="4" width="22.453125" customWidth="1"/>
  </cols>
  <sheetData>
    <row r="2" spans="2:4" x14ac:dyDescent="0.25">
      <c r="B2" t="s">
        <v>319</v>
      </c>
      <c r="D2" s="20" t="s">
        <v>320</v>
      </c>
    </row>
    <row r="3" spans="2:4" ht="13" thickBot="1" x14ac:dyDescent="0.3"/>
    <row r="4" spans="2:4" ht="16.5" thickBot="1" x14ac:dyDescent="0.3">
      <c r="B4" s="1" t="s">
        <v>0</v>
      </c>
      <c r="C4" s="1" t="s">
        <v>1</v>
      </c>
      <c r="D4" s="1" t="s">
        <v>2</v>
      </c>
    </row>
    <row r="5" spans="2:4" ht="16.5" thickBot="1" x14ac:dyDescent="0.3">
      <c r="B5" s="2" t="s">
        <v>211</v>
      </c>
      <c r="C5" s="2" t="s">
        <v>300</v>
      </c>
      <c r="D5" s="2" t="s">
        <v>301</v>
      </c>
    </row>
    <row r="6" spans="2:4" ht="16.5" thickBot="1" x14ac:dyDescent="0.3">
      <c r="B6" s="2" t="s">
        <v>211</v>
      </c>
      <c r="C6" s="2" t="s">
        <v>179</v>
      </c>
      <c r="D6" s="2" t="s">
        <v>302</v>
      </c>
    </row>
    <row r="7" spans="2:4" ht="32.5" thickBot="1" x14ac:dyDescent="0.3">
      <c r="B7" s="2" t="s">
        <v>35</v>
      </c>
      <c r="C7" s="2" t="s">
        <v>303</v>
      </c>
      <c r="D7" s="2" t="s">
        <v>304</v>
      </c>
    </row>
    <row r="8" spans="2:4" ht="16.5" thickBot="1" x14ac:dyDescent="0.3">
      <c r="B8" s="2" t="s">
        <v>116</v>
      </c>
      <c r="C8" s="2" t="s">
        <v>305</v>
      </c>
      <c r="D8" s="2" t="s">
        <v>306</v>
      </c>
    </row>
    <row r="9" spans="2:4" ht="16.5" thickBot="1" x14ac:dyDescent="0.3">
      <c r="B9" s="2" t="s">
        <v>116</v>
      </c>
      <c r="C9" s="2" t="s">
        <v>172</v>
      </c>
      <c r="D9" s="2" t="s">
        <v>307</v>
      </c>
    </row>
    <row r="10" spans="2:4" ht="32.5" thickBot="1" x14ac:dyDescent="0.3">
      <c r="B10" s="2" t="s">
        <v>152</v>
      </c>
      <c r="C10" s="2" t="s">
        <v>305</v>
      </c>
      <c r="D10" s="2" t="s">
        <v>308</v>
      </c>
    </row>
    <row r="11" spans="2:4" ht="16.5" thickBot="1" x14ac:dyDescent="0.3">
      <c r="B11" s="2" t="s">
        <v>152</v>
      </c>
      <c r="C11" s="2" t="s">
        <v>29</v>
      </c>
      <c r="D11" s="2" t="s">
        <v>309</v>
      </c>
    </row>
    <row r="12" spans="2:4" ht="16.5" thickBot="1" x14ac:dyDescent="0.3">
      <c r="B12" s="2" t="s">
        <v>152</v>
      </c>
      <c r="C12" s="2" t="s">
        <v>30</v>
      </c>
      <c r="D12" s="2" t="s">
        <v>310</v>
      </c>
    </row>
    <row r="13" spans="2:4" ht="16.5" thickBot="1" x14ac:dyDescent="0.3">
      <c r="B13" s="2" t="s">
        <v>40</v>
      </c>
      <c r="C13" s="2" t="s">
        <v>311</v>
      </c>
      <c r="D13" s="2" t="s">
        <v>312</v>
      </c>
    </row>
    <row r="14" spans="2:4" ht="16.5" thickBot="1" x14ac:dyDescent="0.3">
      <c r="B14" s="2" t="s">
        <v>40</v>
      </c>
      <c r="C14" s="2" t="s">
        <v>313</v>
      </c>
      <c r="D14" s="2" t="s">
        <v>314</v>
      </c>
    </row>
    <row r="15" spans="2:4" ht="16.5" thickBot="1" x14ac:dyDescent="0.3">
      <c r="B15" s="2" t="s">
        <v>315</v>
      </c>
      <c r="C15" s="2" t="s">
        <v>311</v>
      </c>
      <c r="D15" s="2" t="s">
        <v>316</v>
      </c>
    </row>
    <row r="16" spans="2:4" ht="16.5" thickBot="1" x14ac:dyDescent="0.3">
      <c r="B16" s="2" t="s">
        <v>315</v>
      </c>
      <c r="C16" s="2" t="s">
        <v>313</v>
      </c>
      <c r="D16" s="2" t="s">
        <v>317</v>
      </c>
    </row>
    <row r="17" spans="2:4" ht="32.5" thickBot="1" x14ac:dyDescent="0.3">
      <c r="B17" s="2" t="s">
        <v>39</v>
      </c>
      <c r="C17" s="2" t="s">
        <v>311</v>
      </c>
      <c r="D17" s="2" t="s">
        <v>318</v>
      </c>
    </row>
    <row r="18" spans="2:4" ht="32.5" thickBot="1" x14ac:dyDescent="0.3">
      <c r="B18" s="2" t="s">
        <v>39</v>
      </c>
      <c r="C18" s="2" t="s">
        <v>313</v>
      </c>
      <c r="D18" s="2" t="s">
        <v>318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AD81-0070-487F-9DB5-B37AC415AA64}">
  <dimension ref="B2:D24"/>
  <sheetViews>
    <sheetView workbookViewId="0">
      <selection activeCell="D7" sqref="D7"/>
    </sheetView>
  </sheetViews>
  <sheetFormatPr defaultRowHeight="30" customHeight="1" x14ac:dyDescent="0.25"/>
  <cols>
    <col min="2" max="2" width="23.26953125" customWidth="1"/>
    <col min="3" max="3" width="28.453125" customWidth="1"/>
    <col min="4" max="4" width="42.26953125" customWidth="1"/>
  </cols>
  <sheetData>
    <row r="2" spans="2:4" ht="30" customHeight="1" x14ac:dyDescent="0.25">
      <c r="D2" s="10"/>
    </row>
    <row r="3" spans="2:4" ht="30" customHeight="1" x14ac:dyDescent="0.25">
      <c r="B3" s="80"/>
      <c r="C3" s="80"/>
      <c r="D3" s="8"/>
    </row>
    <row r="4" spans="2:4" ht="30" customHeight="1" x14ac:dyDescent="0.25">
      <c r="B4" s="12" t="s">
        <v>0</v>
      </c>
      <c r="C4" s="12" t="s">
        <v>1</v>
      </c>
      <c r="D4" s="12" t="s">
        <v>2</v>
      </c>
    </row>
    <row r="5" spans="2:4" ht="30" customHeight="1" x14ac:dyDescent="0.25">
      <c r="B5" s="77" t="s">
        <v>65</v>
      </c>
      <c r="C5" s="6" t="s">
        <v>66</v>
      </c>
      <c r="D5" s="6" t="s">
        <v>67</v>
      </c>
    </row>
    <row r="6" spans="2:4" ht="30" customHeight="1" x14ac:dyDescent="0.25">
      <c r="B6" s="79"/>
      <c r="C6" s="6" t="s">
        <v>68</v>
      </c>
      <c r="D6" s="6" t="s">
        <v>69</v>
      </c>
    </row>
    <row r="7" spans="2:4" ht="30" customHeight="1" x14ac:dyDescent="0.25">
      <c r="B7" s="79"/>
      <c r="C7" s="6" t="s">
        <v>70</v>
      </c>
      <c r="D7" s="6" t="s">
        <v>71</v>
      </c>
    </row>
    <row r="8" spans="2:4" ht="30" customHeight="1" x14ac:dyDescent="0.25">
      <c r="B8" s="79"/>
      <c r="C8" s="6" t="s">
        <v>72</v>
      </c>
      <c r="D8" s="6" t="s">
        <v>73</v>
      </c>
    </row>
    <row r="9" spans="2:4" ht="30" customHeight="1" x14ac:dyDescent="0.25">
      <c r="B9" s="79"/>
      <c r="C9" s="6" t="s">
        <v>12</v>
      </c>
      <c r="D9" s="6" t="s">
        <v>74</v>
      </c>
    </row>
    <row r="10" spans="2:4" ht="30" customHeight="1" x14ac:dyDescent="0.25">
      <c r="B10" s="79"/>
      <c r="C10" s="6" t="s">
        <v>37</v>
      </c>
      <c r="D10" s="6" t="s">
        <v>75</v>
      </c>
    </row>
    <row r="11" spans="2:4" ht="30" customHeight="1" x14ac:dyDescent="0.25">
      <c r="B11" s="78"/>
      <c r="C11" s="6" t="s">
        <v>27</v>
      </c>
      <c r="D11" s="6" t="s">
        <v>76</v>
      </c>
    </row>
    <row r="12" spans="2:4" ht="30" customHeight="1" x14ac:dyDescent="0.25">
      <c r="B12" s="77" t="s">
        <v>77</v>
      </c>
      <c r="C12" s="6" t="s">
        <v>3</v>
      </c>
      <c r="D12" s="6" t="s">
        <v>78</v>
      </c>
    </row>
    <row r="13" spans="2:4" ht="30" customHeight="1" x14ac:dyDescent="0.25">
      <c r="B13" s="79"/>
      <c r="C13" s="6" t="s">
        <v>79</v>
      </c>
      <c r="D13" s="6" t="s">
        <v>80</v>
      </c>
    </row>
    <row r="14" spans="2:4" ht="30" customHeight="1" x14ac:dyDescent="0.25">
      <c r="B14" s="79"/>
      <c r="C14" s="6" t="s">
        <v>4</v>
      </c>
      <c r="D14" s="6" t="s">
        <v>81</v>
      </c>
    </row>
    <row r="15" spans="2:4" ht="30" customHeight="1" x14ac:dyDescent="0.25">
      <c r="B15" s="78"/>
      <c r="C15" s="6" t="s">
        <v>5</v>
      </c>
      <c r="D15" s="6" t="s">
        <v>82</v>
      </c>
    </row>
    <row r="16" spans="2:4" ht="30" customHeight="1" x14ac:dyDescent="0.25">
      <c r="B16" s="77" t="s">
        <v>6</v>
      </c>
      <c r="C16" s="6" t="s">
        <v>7</v>
      </c>
      <c r="D16" s="6" t="s">
        <v>83</v>
      </c>
    </row>
    <row r="17" spans="2:4" ht="30" customHeight="1" x14ac:dyDescent="0.25">
      <c r="B17" s="79"/>
      <c r="C17" s="6" t="s">
        <v>8</v>
      </c>
      <c r="D17" s="6" t="s">
        <v>84</v>
      </c>
    </row>
    <row r="18" spans="2:4" ht="30" customHeight="1" x14ac:dyDescent="0.25">
      <c r="B18" s="79"/>
      <c r="C18" s="6" t="s">
        <v>85</v>
      </c>
      <c r="D18" s="6" t="s">
        <v>86</v>
      </c>
    </row>
    <row r="19" spans="2:4" ht="30" customHeight="1" x14ac:dyDescent="0.25">
      <c r="B19" s="78"/>
      <c r="C19" s="6" t="s">
        <v>9</v>
      </c>
      <c r="D19" s="6" t="s">
        <v>87</v>
      </c>
    </row>
    <row r="20" spans="2:4" ht="30" customHeight="1" x14ac:dyDescent="0.25">
      <c r="B20" s="6" t="s">
        <v>88</v>
      </c>
      <c r="C20" s="6" t="s">
        <v>89</v>
      </c>
      <c r="D20" s="6" t="s">
        <v>90</v>
      </c>
    </row>
    <row r="21" spans="2:4" ht="30" customHeight="1" x14ac:dyDescent="0.25">
      <c r="B21" s="77" t="s">
        <v>16</v>
      </c>
      <c r="C21" s="6" t="s">
        <v>91</v>
      </c>
      <c r="D21" s="6" t="s">
        <v>18</v>
      </c>
    </row>
    <row r="22" spans="2:4" ht="30" customHeight="1" x14ac:dyDescent="0.25">
      <c r="B22" s="78"/>
      <c r="C22" s="6" t="s">
        <v>92</v>
      </c>
      <c r="D22" s="6" t="s">
        <v>93</v>
      </c>
    </row>
    <row r="23" spans="2:4" ht="30" customHeight="1" x14ac:dyDescent="0.25">
      <c r="B23" s="6" t="s">
        <v>39</v>
      </c>
      <c r="C23" s="6" t="s">
        <v>94</v>
      </c>
      <c r="D23" s="6" t="s">
        <v>95</v>
      </c>
    </row>
    <row r="24" spans="2:4" ht="30" customHeight="1" x14ac:dyDescent="0.25">
      <c r="B24" s="6" t="s">
        <v>96</v>
      </c>
      <c r="C24" s="6" t="s">
        <v>97</v>
      </c>
      <c r="D24" s="6" t="s">
        <v>98</v>
      </c>
    </row>
  </sheetData>
  <mergeCells count="5">
    <mergeCell ref="B21:B22"/>
    <mergeCell ref="B16:B19"/>
    <mergeCell ref="B12:B15"/>
    <mergeCell ref="B3:C3"/>
    <mergeCell ref="B5:B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10ED-8D89-4998-8A65-519566060EB1}">
  <dimension ref="B5:C15"/>
  <sheetViews>
    <sheetView workbookViewId="0">
      <selection activeCell="D16" sqref="D16"/>
    </sheetView>
  </sheetViews>
  <sheetFormatPr defaultRowHeight="12.5" x14ac:dyDescent="0.25"/>
  <cols>
    <col min="2" max="3" width="31.7265625" style="11" customWidth="1"/>
  </cols>
  <sheetData>
    <row r="5" spans="2:3" ht="13" thickBot="1" x14ac:dyDescent="0.3"/>
    <row r="6" spans="2:3" ht="13" thickBot="1" x14ac:dyDescent="0.3">
      <c r="B6" s="14" t="s">
        <v>144</v>
      </c>
      <c r="C6" s="15" t="s">
        <v>53</v>
      </c>
    </row>
    <row r="7" spans="2:3" ht="13" thickBot="1" x14ac:dyDescent="0.3">
      <c r="B7" s="16" t="s">
        <v>145</v>
      </c>
      <c r="C7" s="17" t="s">
        <v>146</v>
      </c>
    </row>
    <row r="8" spans="2:3" ht="13" thickBot="1" x14ac:dyDescent="0.3">
      <c r="B8" s="16" t="s">
        <v>9</v>
      </c>
      <c r="C8" s="17" t="s">
        <v>147</v>
      </c>
    </row>
    <row r="9" spans="2:3" ht="13" thickBot="1" x14ac:dyDescent="0.3">
      <c r="B9" s="16" t="s">
        <v>148</v>
      </c>
      <c r="C9" s="17" t="s">
        <v>149</v>
      </c>
    </row>
    <row r="10" spans="2:3" ht="13" thickBot="1" x14ac:dyDescent="0.3">
      <c r="B10" s="16" t="s">
        <v>35</v>
      </c>
      <c r="C10" s="17" t="s">
        <v>150</v>
      </c>
    </row>
    <row r="11" spans="2:3" ht="13" thickBot="1" x14ac:dyDescent="0.3">
      <c r="B11" s="16" t="s">
        <v>116</v>
      </c>
      <c r="C11" s="17" t="s">
        <v>151</v>
      </c>
    </row>
    <row r="12" spans="2:3" ht="13" thickBot="1" x14ac:dyDescent="0.3">
      <c r="B12" s="16" t="s">
        <v>152</v>
      </c>
      <c r="C12" s="17" t="s">
        <v>153</v>
      </c>
    </row>
    <row r="13" spans="2:3" ht="13" thickBot="1" x14ac:dyDescent="0.3">
      <c r="B13" s="16" t="s">
        <v>154</v>
      </c>
      <c r="C13" s="17" t="s">
        <v>155</v>
      </c>
    </row>
    <row r="14" spans="2:3" ht="25.5" thickBot="1" x14ac:dyDescent="0.3">
      <c r="B14" s="16" t="s">
        <v>156</v>
      </c>
      <c r="C14" s="17" t="s">
        <v>157</v>
      </c>
    </row>
    <row r="15" spans="2:3" ht="25.5" thickBot="1" x14ac:dyDescent="0.3">
      <c r="B15" s="18" t="s">
        <v>158</v>
      </c>
      <c r="C15" s="19" t="s">
        <v>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5805-7876-49CE-ABBA-67AF653EF5DD}">
  <dimension ref="B1:D35"/>
  <sheetViews>
    <sheetView workbookViewId="0">
      <selection activeCell="B29" sqref="B29:B35"/>
    </sheetView>
  </sheetViews>
  <sheetFormatPr defaultRowHeight="30" customHeight="1" x14ac:dyDescent="0.25"/>
  <cols>
    <col min="2" max="2" width="20.81640625" customWidth="1"/>
    <col min="3" max="3" width="24.7265625" customWidth="1"/>
    <col min="4" max="4" width="28.7265625" customWidth="1"/>
  </cols>
  <sheetData>
    <row r="1" spans="2:4" ht="30" customHeight="1" x14ac:dyDescent="0.25">
      <c r="B1" s="5" t="s">
        <v>0</v>
      </c>
      <c r="C1" s="5" t="s">
        <v>1</v>
      </c>
      <c r="D1" s="5" t="s">
        <v>2</v>
      </c>
    </row>
    <row r="2" spans="2:4" ht="30" customHeight="1" x14ac:dyDescent="0.25">
      <c r="B2" s="81" t="s">
        <v>160</v>
      </c>
      <c r="C2" s="6" t="s">
        <v>66</v>
      </c>
      <c r="D2" s="6" t="s">
        <v>161</v>
      </c>
    </row>
    <row r="3" spans="2:4" ht="30" customHeight="1" x14ac:dyDescent="0.25">
      <c r="B3" s="82"/>
      <c r="C3" s="6" t="s">
        <v>68</v>
      </c>
      <c r="D3" s="6" t="s">
        <v>162</v>
      </c>
    </row>
    <row r="4" spans="2:4" ht="30" customHeight="1" x14ac:dyDescent="0.25">
      <c r="B4" s="82"/>
      <c r="C4" s="6" t="s">
        <v>70</v>
      </c>
      <c r="D4" s="6" t="s">
        <v>163</v>
      </c>
    </row>
    <row r="5" spans="2:4" ht="30" customHeight="1" x14ac:dyDescent="0.25">
      <c r="B5" s="82"/>
      <c r="C5" s="6" t="s">
        <v>10</v>
      </c>
      <c r="D5" s="6" t="s">
        <v>164</v>
      </c>
    </row>
    <row r="6" spans="2:4" ht="30" customHeight="1" x14ac:dyDescent="0.25">
      <c r="B6" s="82"/>
      <c r="C6" s="6" t="s">
        <v>165</v>
      </c>
      <c r="D6" s="6" t="s">
        <v>166</v>
      </c>
    </row>
    <row r="7" spans="2:4" ht="30" customHeight="1" x14ac:dyDescent="0.25">
      <c r="B7" s="82"/>
      <c r="C7" s="6" t="s">
        <v>11</v>
      </c>
      <c r="D7" s="6" t="s">
        <v>167</v>
      </c>
    </row>
    <row r="8" spans="2:4" ht="30" customHeight="1" x14ac:dyDescent="0.25">
      <c r="B8" s="82"/>
      <c r="C8" s="6" t="s">
        <v>168</v>
      </c>
      <c r="D8" s="6" t="s">
        <v>169</v>
      </c>
    </row>
    <row r="9" spans="2:4" ht="30" customHeight="1" x14ac:dyDescent="0.25">
      <c r="B9" s="83"/>
      <c r="C9" s="6" t="s">
        <v>170</v>
      </c>
      <c r="D9" s="6" t="s">
        <v>171</v>
      </c>
    </row>
    <row r="10" spans="2:4" ht="30" customHeight="1" x14ac:dyDescent="0.25">
      <c r="B10" s="5" t="s">
        <v>172</v>
      </c>
      <c r="C10" s="6" t="s">
        <v>27</v>
      </c>
      <c r="D10" s="6" t="s">
        <v>76</v>
      </c>
    </row>
    <row r="11" spans="2:4" ht="30" customHeight="1" x14ac:dyDescent="0.25">
      <c r="B11" s="81" t="s">
        <v>24</v>
      </c>
      <c r="C11" s="6" t="s">
        <v>3</v>
      </c>
      <c r="D11" s="6" t="s">
        <v>173</v>
      </c>
    </row>
    <row r="12" spans="2:4" ht="30" customHeight="1" x14ac:dyDescent="0.25">
      <c r="B12" s="82"/>
      <c r="C12" s="6" t="s">
        <v>174</v>
      </c>
      <c r="D12" s="6" t="s">
        <v>175</v>
      </c>
    </row>
    <row r="13" spans="2:4" ht="30" customHeight="1" x14ac:dyDescent="0.25">
      <c r="B13" s="82"/>
      <c r="C13" s="6" t="s">
        <v>111</v>
      </c>
      <c r="D13" s="6" t="s">
        <v>176</v>
      </c>
    </row>
    <row r="14" spans="2:4" ht="30" customHeight="1" x14ac:dyDescent="0.25">
      <c r="B14" s="83"/>
      <c r="C14" s="6" t="s">
        <v>177</v>
      </c>
      <c r="D14" s="6" t="s">
        <v>178</v>
      </c>
    </row>
    <row r="15" spans="2:4" ht="30" customHeight="1" x14ac:dyDescent="0.25">
      <c r="B15" s="81" t="s">
        <v>28</v>
      </c>
      <c r="C15" s="6" t="s">
        <v>179</v>
      </c>
      <c r="D15" s="6" t="s">
        <v>180</v>
      </c>
    </row>
    <row r="16" spans="2:4" ht="30" customHeight="1" x14ac:dyDescent="0.25">
      <c r="B16" s="82"/>
      <c r="C16" s="6" t="s">
        <v>181</v>
      </c>
      <c r="D16" s="6" t="s">
        <v>182</v>
      </c>
    </row>
    <row r="17" spans="2:4" ht="30" customHeight="1" x14ac:dyDescent="0.25">
      <c r="B17" s="83"/>
      <c r="C17" s="6" t="s">
        <v>121</v>
      </c>
      <c r="D17" s="6" t="s">
        <v>183</v>
      </c>
    </row>
    <row r="18" spans="2:4" ht="30" customHeight="1" x14ac:dyDescent="0.25">
      <c r="B18" s="81" t="s">
        <v>184</v>
      </c>
      <c r="C18" s="6" t="s">
        <v>185</v>
      </c>
      <c r="D18" s="6" t="s">
        <v>186</v>
      </c>
    </row>
    <row r="19" spans="2:4" ht="30" customHeight="1" x14ac:dyDescent="0.25">
      <c r="B19" s="82"/>
      <c r="C19" s="6"/>
      <c r="D19" s="6" t="s">
        <v>187</v>
      </c>
    </row>
    <row r="20" spans="2:4" ht="30" customHeight="1" x14ac:dyDescent="0.25">
      <c r="B20" s="83"/>
      <c r="C20" s="6" t="s">
        <v>9</v>
      </c>
      <c r="D20" s="6" t="s">
        <v>188</v>
      </c>
    </row>
    <row r="21" spans="2:4" ht="30" customHeight="1" x14ac:dyDescent="0.25">
      <c r="B21" s="81" t="s">
        <v>16</v>
      </c>
      <c r="C21" s="6" t="s">
        <v>17</v>
      </c>
      <c r="D21" s="6" t="s">
        <v>189</v>
      </c>
    </row>
    <row r="22" spans="2:4" ht="30" customHeight="1" x14ac:dyDescent="0.25">
      <c r="B22" s="82"/>
      <c r="C22" s="6" t="s">
        <v>19</v>
      </c>
      <c r="D22" s="6" t="s">
        <v>155</v>
      </c>
    </row>
    <row r="23" spans="2:4" ht="30" customHeight="1" x14ac:dyDescent="0.25">
      <c r="B23" s="83"/>
      <c r="C23" s="6" t="s">
        <v>190</v>
      </c>
      <c r="D23" s="6" t="s">
        <v>191</v>
      </c>
    </row>
    <row r="24" spans="2:4" ht="30" customHeight="1" x14ac:dyDescent="0.25">
      <c r="B24" s="81" t="s">
        <v>39</v>
      </c>
      <c r="C24" s="6" t="s">
        <v>14</v>
      </c>
      <c r="D24" s="6" t="s">
        <v>192</v>
      </c>
    </row>
    <row r="25" spans="2:4" ht="30" customHeight="1" x14ac:dyDescent="0.25">
      <c r="B25" s="83"/>
      <c r="C25" s="6" t="s">
        <v>15</v>
      </c>
      <c r="D25" s="6" t="s">
        <v>193</v>
      </c>
    </row>
    <row r="26" spans="2:4" ht="30" customHeight="1" x14ac:dyDescent="0.25">
      <c r="B26" s="81" t="s">
        <v>13</v>
      </c>
      <c r="C26" s="6" t="s">
        <v>194</v>
      </c>
      <c r="D26" s="6" t="s">
        <v>195</v>
      </c>
    </row>
    <row r="27" spans="2:4" ht="30" customHeight="1" x14ac:dyDescent="0.25">
      <c r="B27" s="82"/>
      <c r="C27" s="6" t="s">
        <v>196</v>
      </c>
      <c r="D27" s="6" t="s">
        <v>195</v>
      </c>
    </row>
    <row r="28" spans="2:4" ht="30" customHeight="1" x14ac:dyDescent="0.25">
      <c r="B28" s="83"/>
      <c r="C28" s="6" t="s">
        <v>197</v>
      </c>
      <c r="D28" s="6" t="s">
        <v>210</v>
      </c>
    </row>
    <row r="29" spans="2:4" ht="30" customHeight="1" x14ac:dyDescent="0.25">
      <c r="B29" s="81" t="s">
        <v>45</v>
      </c>
      <c r="C29" s="6" t="s">
        <v>22</v>
      </c>
      <c r="D29" s="6" t="s">
        <v>198</v>
      </c>
    </row>
    <row r="30" spans="2:4" ht="30" customHeight="1" x14ac:dyDescent="0.25">
      <c r="B30" s="82"/>
      <c r="C30" s="6" t="s">
        <v>199</v>
      </c>
      <c r="D30" s="6" t="s">
        <v>200</v>
      </c>
    </row>
    <row r="31" spans="2:4" ht="30" customHeight="1" x14ac:dyDescent="0.25">
      <c r="B31" s="82"/>
      <c r="C31" s="6" t="s">
        <v>201</v>
      </c>
      <c r="D31" s="6" t="s">
        <v>23</v>
      </c>
    </row>
    <row r="32" spans="2:4" ht="30" customHeight="1" x14ac:dyDescent="0.25">
      <c r="B32" s="82"/>
      <c r="C32" s="6" t="s">
        <v>202</v>
      </c>
      <c r="D32" s="6" t="s">
        <v>203</v>
      </c>
    </row>
    <row r="33" spans="2:4" ht="30" customHeight="1" x14ac:dyDescent="0.25">
      <c r="B33" s="82"/>
      <c r="C33" s="6" t="s">
        <v>204</v>
      </c>
      <c r="D33" s="6" t="s">
        <v>205</v>
      </c>
    </row>
    <row r="34" spans="2:4" ht="30" customHeight="1" x14ac:dyDescent="0.25">
      <c r="B34" s="82"/>
      <c r="C34" s="6" t="s">
        <v>206</v>
      </c>
      <c r="D34" s="6" t="s">
        <v>207</v>
      </c>
    </row>
    <row r="35" spans="2:4" ht="30" customHeight="1" x14ac:dyDescent="0.25">
      <c r="B35" s="83"/>
      <c r="C35" s="6" t="s">
        <v>208</v>
      </c>
      <c r="D35" s="6" t="s">
        <v>209</v>
      </c>
    </row>
  </sheetData>
  <mergeCells count="8">
    <mergeCell ref="B26:B28"/>
    <mergeCell ref="B29:B35"/>
    <mergeCell ref="B2:B9"/>
    <mergeCell ref="B11:B14"/>
    <mergeCell ref="B15:B17"/>
    <mergeCell ref="B18:B20"/>
    <mergeCell ref="B21:B23"/>
    <mergeCell ref="B24:B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1987-9126-464A-BDF6-3455DECE4426}">
  <dimension ref="B3:D44"/>
  <sheetViews>
    <sheetView workbookViewId="0">
      <selection activeCell="F31" sqref="F31"/>
    </sheetView>
  </sheetViews>
  <sheetFormatPr defaultRowHeight="12.5" x14ac:dyDescent="0.25"/>
  <cols>
    <col min="2" max="3" width="26.1796875" style="11" customWidth="1"/>
    <col min="4" max="4" width="35.26953125" style="11" customWidth="1"/>
  </cols>
  <sheetData>
    <row r="3" spans="2:4" ht="30" customHeight="1" x14ac:dyDescent="0.25">
      <c r="B3" s="5" t="s">
        <v>0</v>
      </c>
      <c r="C3" s="5" t="s">
        <v>1</v>
      </c>
      <c r="D3" s="5" t="s">
        <v>2</v>
      </c>
    </row>
    <row r="4" spans="2:4" ht="30" customHeight="1" x14ac:dyDescent="0.25">
      <c r="B4" s="6" t="s">
        <v>211</v>
      </c>
      <c r="C4" s="6" t="s">
        <v>26</v>
      </c>
      <c r="D4" s="6" t="s">
        <v>212</v>
      </c>
    </row>
    <row r="5" spans="2:4" ht="30" customHeight="1" x14ac:dyDescent="0.25">
      <c r="B5" s="6" t="s">
        <v>211</v>
      </c>
      <c r="C5" s="6" t="s">
        <v>213</v>
      </c>
      <c r="D5" s="6" t="s">
        <v>214</v>
      </c>
    </row>
    <row r="6" spans="2:4" ht="30" customHeight="1" x14ac:dyDescent="0.25">
      <c r="B6" s="6" t="s">
        <v>211</v>
      </c>
      <c r="C6" s="6" t="s">
        <v>215</v>
      </c>
      <c r="D6" s="6" t="s">
        <v>216</v>
      </c>
    </row>
    <row r="7" spans="2:4" ht="30" customHeight="1" x14ac:dyDescent="0.25">
      <c r="B7" s="6" t="s">
        <v>211</v>
      </c>
      <c r="C7" s="6" t="s">
        <v>12</v>
      </c>
      <c r="D7" s="6" t="s">
        <v>217</v>
      </c>
    </row>
    <row r="8" spans="2:4" ht="30" customHeight="1" x14ac:dyDescent="0.25">
      <c r="B8" s="6" t="s">
        <v>211</v>
      </c>
      <c r="C8" s="6" t="s">
        <v>4</v>
      </c>
      <c r="D8" s="6" t="s">
        <v>218</v>
      </c>
    </row>
    <row r="9" spans="2:4" ht="30" customHeight="1" x14ac:dyDescent="0.25">
      <c r="B9" s="6" t="s">
        <v>211</v>
      </c>
      <c r="C9" s="6" t="s">
        <v>219</v>
      </c>
      <c r="D9" s="6" t="s">
        <v>220</v>
      </c>
    </row>
    <row r="10" spans="2:4" ht="30" customHeight="1" x14ac:dyDescent="0.25">
      <c r="B10" s="6" t="s">
        <v>211</v>
      </c>
      <c r="C10" s="6" t="s">
        <v>221</v>
      </c>
      <c r="D10" s="6" t="s">
        <v>222</v>
      </c>
    </row>
    <row r="11" spans="2:4" ht="30" customHeight="1" x14ac:dyDescent="0.25">
      <c r="B11" s="6" t="s">
        <v>211</v>
      </c>
      <c r="C11" s="6" t="s">
        <v>223</v>
      </c>
      <c r="D11" s="6" t="s">
        <v>224</v>
      </c>
    </row>
    <row r="12" spans="2:4" ht="30" customHeight="1" x14ac:dyDescent="0.25">
      <c r="B12" s="6" t="s">
        <v>225</v>
      </c>
      <c r="C12" s="6" t="s">
        <v>226</v>
      </c>
      <c r="D12" s="6" t="s">
        <v>227</v>
      </c>
    </row>
    <row r="13" spans="2:4" ht="30" customHeight="1" x14ac:dyDescent="0.25">
      <c r="B13" s="6" t="s">
        <v>225</v>
      </c>
      <c r="C13" s="6" t="s">
        <v>228</v>
      </c>
      <c r="D13" s="6" t="s">
        <v>229</v>
      </c>
    </row>
    <row r="14" spans="2:4" ht="30" customHeight="1" x14ac:dyDescent="0.25">
      <c r="B14" s="6" t="s">
        <v>225</v>
      </c>
      <c r="C14" s="6" t="s">
        <v>230</v>
      </c>
      <c r="D14" s="6" t="s">
        <v>231</v>
      </c>
    </row>
    <row r="15" spans="2:4" ht="30" customHeight="1" x14ac:dyDescent="0.25">
      <c r="B15" s="6" t="s">
        <v>225</v>
      </c>
      <c r="C15" s="6" t="s">
        <v>232</v>
      </c>
      <c r="D15" s="6" t="s">
        <v>233</v>
      </c>
    </row>
    <row r="16" spans="2:4" ht="30" customHeight="1" x14ac:dyDescent="0.25">
      <c r="B16" s="6" t="s">
        <v>225</v>
      </c>
      <c r="C16" s="6" t="s">
        <v>234</v>
      </c>
      <c r="D16" s="6" t="s">
        <v>235</v>
      </c>
    </row>
    <row r="17" spans="2:4" ht="30" customHeight="1" x14ac:dyDescent="0.25">
      <c r="B17" s="6" t="s">
        <v>225</v>
      </c>
      <c r="C17" s="6" t="s">
        <v>236</v>
      </c>
      <c r="D17" s="6" t="s">
        <v>237</v>
      </c>
    </row>
    <row r="18" spans="2:4" ht="30" customHeight="1" x14ac:dyDescent="0.25">
      <c r="B18" s="6" t="s">
        <v>225</v>
      </c>
      <c r="C18" s="6" t="s">
        <v>238</v>
      </c>
      <c r="D18" s="6" t="s">
        <v>239</v>
      </c>
    </row>
    <row r="19" spans="2:4" ht="30" customHeight="1" x14ac:dyDescent="0.25">
      <c r="B19" s="6" t="s">
        <v>42</v>
      </c>
      <c r="C19" s="6" t="s">
        <v>44</v>
      </c>
      <c r="D19" s="6" t="s">
        <v>240</v>
      </c>
    </row>
    <row r="20" spans="2:4" ht="30" customHeight="1" x14ac:dyDescent="0.25">
      <c r="B20" s="6" t="s">
        <v>42</v>
      </c>
      <c r="C20" s="6" t="s">
        <v>241</v>
      </c>
      <c r="D20" s="6" t="s">
        <v>242</v>
      </c>
    </row>
    <row r="21" spans="2:4" ht="30" customHeight="1" x14ac:dyDescent="0.25">
      <c r="B21" s="6" t="s">
        <v>42</v>
      </c>
      <c r="C21" s="6" t="s">
        <v>243</v>
      </c>
      <c r="D21" s="6" t="s">
        <v>244</v>
      </c>
    </row>
    <row r="22" spans="2:4" ht="30" customHeight="1" x14ac:dyDescent="0.25">
      <c r="B22" s="6" t="s">
        <v>42</v>
      </c>
      <c r="C22" s="6" t="s">
        <v>245</v>
      </c>
      <c r="D22" s="6" t="s">
        <v>246</v>
      </c>
    </row>
    <row r="23" spans="2:4" ht="30" customHeight="1" x14ac:dyDescent="0.25">
      <c r="B23" s="6" t="s">
        <v>42</v>
      </c>
      <c r="C23" s="6" t="s">
        <v>247</v>
      </c>
      <c r="D23" s="6" t="s">
        <v>248</v>
      </c>
    </row>
    <row r="24" spans="2:4" ht="30" customHeight="1" x14ac:dyDescent="0.25">
      <c r="B24" s="6" t="s">
        <v>35</v>
      </c>
      <c r="C24" s="6" t="s">
        <v>249</v>
      </c>
      <c r="D24" s="6" t="s">
        <v>250</v>
      </c>
    </row>
    <row r="25" spans="2:4" ht="30" customHeight="1" x14ac:dyDescent="0.25">
      <c r="B25" s="6" t="s">
        <v>35</v>
      </c>
      <c r="C25" s="6" t="s">
        <v>251</v>
      </c>
      <c r="D25" s="6" t="s">
        <v>252</v>
      </c>
    </row>
    <row r="26" spans="2:4" ht="30" customHeight="1" x14ac:dyDescent="0.25">
      <c r="B26" s="6" t="s">
        <v>35</v>
      </c>
      <c r="C26" s="6" t="s">
        <v>253</v>
      </c>
      <c r="D26" s="6" t="s">
        <v>254</v>
      </c>
    </row>
    <row r="27" spans="2:4" ht="30" customHeight="1" x14ac:dyDescent="0.25">
      <c r="B27" s="6" t="s">
        <v>35</v>
      </c>
      <c r="C27" s="6" t="s">
        <v>11</v>
      </c>
      <c r="D27" s="6" t="s">
        <v>255</v>
      </c>
    </row>
    <row r="28" spans="2:4" ht="30" customHeight="1" x14ac:dyDescent="0.25">
      <c r="B28" s="6" t="s">
        <v>35</v>
      </c>
      <c r="C28" s="6" t="s">
        <v>256</v>
      </c>
      <c r="D28" s="6" t="s">
        <v>257</v>
      </c>
    </row>
    <row r="29" spans="2:4" ht="30" customHeight="1" x14ac:dyDescent="0.25">
      <c r="B29" s="6" t="s">
        <v>258</v>
      </c>
      <c r="C29" s="6" t="s">
        <v>14</v>
      </c>
      <c r="D29" s="6" t="s">
        <v>259</v>
      </c>
    </row>
    <row r="30" spans="2:4" ht="30" customHeight="1" x14ac:dyDescent="0.25">
      <c r="B30" s="6" t="s">
        <v>258</v>
      </c>
      <c r="C30" s="6" t="s">
        <v>15</v>
      </c>
      <c r="D30" s="6" t="s">
        <v>260</v>
      </c>
    </row>
    <row r="31" spans="2:4" ht="30" customHeight="1" x14ac:dyDescent="0.25">
      <c r="B31" s="6" t="s">
        <v>258</v>
      </c>
      <c r="C31" s="6" t="s">
        <v>261</v>
      </c>
      <c r="D31" s="6" t="s">
        <v>262</v>
      </c>
    </row>
    <row r="32" spans="2:4" ht="30" customHeight="1" x14ac:dyDescent="0.25">
      <c r="B32" s="6" t="s">
        <v>40</v>
      </c>
      <c r="C32" s="6" t="s">
        <v>263</v>
      </c>
      <c r="D32" s="6" t="s">
        <v>264</v>
      </c>
    </row>
    <row r="33" spans="2:4" ht="30" customHeight="1" x14ac:dyDescent="0.25">
      <c r="B33" s="6" t="s">
        <v>40</v>
      </c>
      <c r="C33" s="6" t="s">
        <v>190</v>
      </c>
      <c r="D33" s="6" t="s">
        <v>265</v>
      </c>
    </row>
    <row r="34" spans="2:4" ht="30" customHeight="1" x14ac:dyDescent="0.25">
      <c r="B34" s="6" t="s">
        <v>38</v>
      </c>
      <c r="C34" s="6" t="s">
        <v>266</v>
      </c>
      <c r="D34" s="6" t="s">
        <v>267</v>
      </c>
    </row>
    <row r="35" spans="2:4" ht="30" customHeight="1" x14ac:dyDescent="0.25">
      <c r="B35" s="6" t="s">
        <v>268</v>
      </c>
      <c r="C35" s="6" t="s">
        <v>269</v>
      </c>
      <c r="D35" s="6" t="s">
        <v>270</v>
      </c>
    </row>
    <row r="36" spans="2:4" ht="30" customHeight="1" x14ac:dyDescent="0.25">
      <c r="B36" s="6" t="s">
        <v>268</v>
      </c>
      <c r="C36" s="6" t="s">
        <v>271</v>
      </c>
      <c r="D36" s="6" t="s">
        <v>272</v>
      </c>
    </row>
    <row r="37" spans="2:4" ht="30" customHeight="1" x14ac:dyDescent="0.25">
      <c r="B37" s="6" t="s">
        <v>268</v>
      </c>
      <c r="C37" s="6" t="s">
        <v>273</v>
      </c>
      <c r="D37" s="6" t="s">
        <v>274</v>
      </c>
    </row>
    <row r="38" spans="2:4" ht="30" customHeight="1" x14ac:dyDescent="0.25">
      <c r="B38" s="6" t="s">
        <v>45</v>
      </c>
      <c r="C38" s="6" t="s">
        <v>275</v>
      </c>
      <c r="D38" s="6" t="s">
        <v>276</v>
      </c>
    </row>
    <row r="39" spans="2:4" ht="30" customHeight="1" x14ac:dyDescent="0.25">
      <c r="B39" s="6" t="s">
        <v>45</v>
      </c>
      <c r="C39" s="6" t="s">
        <v>277</v>
      </c>
      <c r="D39" s="6" t="s">
        <v>276</v>
      </c>
    </row>
    <row r="40" spans="2:4" ht="30" customHeight="1" x14ac:dyDescent="0.25">
      <c r="B40" s="6" t="s">
        <v>45</v>
      </c>
      <c r="C40" s="6" t="s">
        <v>278</v>
      </c>
      <c r="D40" s="6" t="s">
        <v>276</v>
      </c>
    </row>
    <row r="41" spans="2:4" ht="30" customHeight="1" x14ac:dyDescent="0.25">
      <c r="B41" s="6" t="s">
        <v>45</v>
      </c>
      <c r="C41" s="6" t="s">
        <v>243</v>
      </c>
      <c r="D41" s="6" t="s">
        <v>276</v>
      </c>
    </row>
    <row r="42" spans="2:4" ht="30" customHeight="1" x14ac:dyDescent="0.25">
      <c r="B42" s="6" t="s">
        <v>45</v>
      </c>
      <c r="C42" s="6" t="s">
        <v>279</v>
      </c>
      <c r="D42" s="6" t="s">
        <v>276</v>
      </c>
    </row>
    <row r="43" spans="2:4" ht="30" customHeight="1" x14ac:dyDescent="0.25">
      <c r="B43" s="6" t="s">
        <v>45</v>
      </c>
      <c r="C43" s="6" t="s">
        <v>280</v>
      </c>
      <c r="D43" s="6" t="s">
        <v>276</v>
      </c>
    </row>
    <row r="44" spans="2:4" ht="30" customHeight="1" x14ac:dyDescent="0.25">
      <c r="B44" s="6" t="s">
        <v>281</v>
      </c>
      <c r="C44" s="6" t="s">
        <v>282</v>
      </c>
      <c r="D44" s="6" t="s">
        <v>283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fc9629-a636-4c03-abe9-a76cd0abeb59}" enabled="0" method="" siteId="{87fc9629-a636-4c03-abe9-a76cd0abeb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Consolidated</vt:lpstr>
      <vt:lpstr>Sri lanka ICE</vt:lpstr>
      <vt:lpstr>Youdha E Pod</vt:lpstr>
      <vt:lpstr>Dongaen E trikes</vt:lpstr>
      <vt:lpstr>Dongaen Closed cabin</vt:lpstr>
      <vt:lpstr>Dongaen 7 Seater</vt:lpstr>
      <vt:lpstr>Yadea CL 9s</vt:lpstr>
      <vt:lpstr>Sheet3</vt:lpstr>
      <vt:lpstr>JP EV Zeko ii</vt:lpstr>
      <vt:lpstr>JP YH </vt:lpstr>
      <vt:lpstr>Lifan Dayun 200cc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CHIRANJEEVI VINOTHKUMAR</dc:creator>
  <cp:lastModifiedBy>PRISHA</cp:lastModifiedBy>
  <dcterms:created xsi:type="dcterms:W3CDTF">2026-10-09T04:30:36Z</dcterms:created>
  <dcterms:modified xsi:type="dcterms:W3CDTF">2026-10-15T07:03:00Z</dcterms:modified>
</cp:coreProperties>
</file>